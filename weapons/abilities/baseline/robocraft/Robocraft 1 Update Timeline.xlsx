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meline" sheetId="1" r:id="rId4"/>
    <sheet state="visible" name="Eras (Short)" sheetId="2" r:id="rId5"/>
  </sheets>
  <definedNames/>
  <calcPr/>
</workbook>
</file>

<file path=xl/sharedStrings.xml><?xml version="1.0" encoding="utf-8"?>
<sst xmlns="http://schemas.openxmlformats.org/spreadsheetml/2006/main" count="18" uniqueCount="18">
  <si>
    <t>An excerpt from Deego's Robocraft Master Data Sheet</t>
  </si>
  <si>
    <t>Single Player Era</t>
  </si>
  <si>
    <t>130 Days</t>
  </si>
  <si>
    <t>Alpha Era</t>
  </si>
  <si>
    <t>655 Days</t>
  </si>
  <si>
    <t>BA 1.0 Era (Megas)</t>
  </si>
  <si>
    <t>363 Days</t>
  </si>
  <si>
    <t>No Tiers Era (Crates)</t>
  </si>
  <si>
    <t>309 Days</t>
  </si>
  <si>
    <t>BA 2.0 Era (Caps)</t>
  </si>
  <si>
    <t>160 Days</t>
  </si>
  <si>
    <t>Boost Era</t>
  </si>
  <si>
    <t>462 Days</t>
  </si>
  <si>
    <t>Infinity Era</t>
  </si>
  <si>
    <t>215 Days</t>
  </si>
  <si>
    <t>Community Era</t>
  </si>
  <si>
    <t>1240 Days</t>
  </si>
  <si>
    <t>Post-Freejam Era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</si>
</sst>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d"/>
  </numFmts>
  <fonts count="18">
    <font>
      <sz val="10.0"/>
      <color rgb="FF000000"/>
      <name val="Arial"/>
      <scheme val="minor"/>
    </font>
    <font>
      <color theme="1"/>
      <name val="Calibri"/>
    </font>
    <font>
      <i/>
      <u/>
      <sz val="11.0"/>
      <color rgb="FF6D9EEB"/>
      <name val="Calibri"/>
    </font>
    <font/>
    <font>
      <b/>
      <sz val="24.0"/>
      <color theme="0"/>
      <name val="Calibri"/>
    </font>
    <font>
      <b/>
      <sz val="24.0"/>
      <color theme="1"/>
      <name val="Calibri"/>
    </font>
    <font>
      <sz val="11.0"/>
      <color theme="1"/>
      <name val="Calibri"/>
    </font>
    <font>
      <sz val="11.0"/>
      <color rgb="FFFFFFFF"/>
      <name val="Calibri"/>
    </font>
    <font>
      <sz val="11.0"/>
      <color theme="0"/>
      <name val="Calibri"/>
    </font>
    <font>
      <i/>
      <sz val="11.0"/>
      <color theme="0"/>
      <name val="Calibri"/>
    </font>
    <font>
      <b/>
      <sz val="11.0"/>
      <color theme="0"/>
      <name val="Calibri"/>
    </font>
    <font>
      <b/>
      <i/>
      <sz val="11.0"/>
      <color theme="0"/>
      <name val="Calibri"/>
    </font>
    <font>
      <i/>
      <sz val="11.0"/>
      <color rgb="FF434343"/>
      <name val="Calibri"/>
    </font>
    <font>
      <u/>
      <sz val="11.0"/>
      <color rgb="FF6D9EEB"/>
      <name val="Calibri"/>
    </font>
    <font>
      <i/>
      <sz val="11.0"/>
      <color rgb="FFFFFFFF"/>
      <name val="Calibri"/>
    </font>
    <font>
      <color theme="0"/>
      <name val="Calibri"/>
    </font>
    <font>
      <i/>
      <sz val="11.0"/>
      <color rgb="FF6D9EEB"/>
      <name val="Calibri"/>
    </font>
    <font>
      <b/>
      <sz val="11.0"/>
      <color rgb="FFFFFFFF"/>
      <name val="Calibri"/>
    </font>
  </fonts>
  <fills count="13">
    <fill>
      <patternFill patternType="none"/>
    </fill>
    <fill>
      <patternFill patternType="lightGray"/>
    </fill>
    <fill>
      <patternFill patternType="solid">
        <fgColor rgb="FF1A1A1A"/>
        <bgColor rgb="FF1A1A1A"/>
      </patternFill>
    </fill>
    <fill>
      <patternFill patternType="solid">
        <fgColor rgb="FF434343"/>
        <bgColor rgb="FF434343"/>
      </patternFill>
    </fill>
    <fill>
      <patternFill patternType="solid">
        <fgColor rgb="FFE38828"/>
        <bgColor rgb="FFE38828"/>
      </patternFill>
    </fill>
    <fill>
      <patternFill patternType="solid">
        <fgColor rgb="FFB45F06"/>
        <bgColor rgb="FFB45F06"/>
      </patternFill>
    </fill>
    <fill>
      <patternFill patternType="solid">
        <fgColor rgb="FF990000"/>
        <bgColor rgb="FF990000"/>
      </patternFill>
    </fill>
    <fill>
      <patternFill patternType="solid">
        <fgColor rgb="FF741B47"/>
        <bgColor rgb="FF741B47"/>
      </patternFill>
    </fill>
    <fill>
      <patternFill patternType="solid">
        <fgColor rgb="FF4C1130"/>
        <bgColor rgb="FF4C1130"/>
      </patternFill>
    </fill>
    <fill>
      <patternFill patternType="solid">
        <fgColor rgb="FF351C75"/>
        <bgColor rgb="FF351C75"/>
      </patternFill>
    </fill>
    <fill>
      <patternFill patternType="solid">
        <fgColor rgb="FF1155CC"/>
        <bgColor rgb="FF1155CC"/>
      </patternFill>
    </fill>
    <fill>
      <patternFill patternType="solid">
        <fgColor rgb="FF134F5C"/>
        <bgColor rgb="FF134F5C"/>
      </patternFill>
    </fill>
    <fill>
      <patternFill patternType="solid">
        <fgColor rgb="FF38761D"/>
        <bgColor rgb="FF38761D"/>
      </patternFill>
    </fill>
  </fills>
  <borders count="87">
    <border/>
    <border>
      <left style="thin">
        <color rgb="FF1A1A1A"/>
      </left>
      <right style="thin">
        <color rgb="FF1A1A1A"/>
      </right>
      <top style="thin">
        <color rgb="FF1A1A1A"/>
      </top>
    </border>
    <border>
      <left style="thin">
        <color rgb="FF1A1A1A"/>
      </left>
      <right style="thin">
        <color rgb="FF1A1A1A"/>
      </right>
      <top style="thin">
        <color rgb="FF1A1A1A"/>
      </top>
      <bottom style="thin">
        <color rgb="FF1A1A1A"/>
      </bottom>
    </border>
    <border>
      <left style="thin">
        <color rgb="FF1A1A1A"/>
      </left>
      <top style="thin">
        <color rgb="FF1A1A1A"/>
      </top>
    </border>
    <border>
      <top style="thin">
        <color rgb="FF1A1A1A"/>
      </top>
    </border>
    <border>
      <right style="thin">
        <color rgb="FF1A1A1A"/>
      </right>
      <top style="thin">
        <color rgb="FF1A1A1A"/>
      </top>
    </border>
    <border>
      <left style="thin">
        <color rgb="FF434343"/>
      </left>
      <right style="thin">
        <color rgb="FF434343"/>
      </right>
      <top style="thin">
        <color rgb="FF434343"/>
      </top>
      <bottom style="thin">
        <color rgb="FF434343"/>
      </bottom>
    </border>
    <border>
      <top style="thin">
        <color rgb="FF1A1A1A"/>
      </top>
      <bottom style="thin">
        <color rgb="FF1A1A1A"/>
      </bottom>
    </border>
    <border>
      <left style="thin">
        <color rgb="FF434343"/>
      </left>
      <top style="thin">
        <color rgb="FF434343"/>
      </top>
    </border>
    <border>
      <top style="thin">
        <color rgb="FF434343"/>
      </top>
    </border>
    <border>
      <right style="thin">
        <color rgb="FF434343"/>
      </right>
      <top style="thin">
        <color rgb="FF434343"/>
      </top>
    </border>
    <border>
      <right style="thin">
        <color rgb="FF1A1A1A"/>
      </right>
      <top style="thin">
        <color rgb="FF1A1A1A"/>
      </top>
      <bottom style="thin">
        <color rgb="FF1A1A1A"/>
      </bottom>
    </border>
    <border>
      <left style="thin">
        <color rgb="FF1A1A1A"/>
      </left>
      <right style="thin">
        <color rgb="FF1A1A1A"/>
      </right>
      <bottom style="thin">
        <color rgb="FF1A1A1A"/>
      </bottom>
    </border>
    <border>
      <left style="thin">
        <color rgb="FF1A1A1A"/>
      </left>
      <top style="thin">
        <color rgb="FF1A1A1A"/>
      </top>
      <bottom style="thin">
        <color rgb="FF1A1A1A"/>
      </bottom>
    </border>
    <border>
      <left style="thin">
        <color rgb="FF434343"/>
      </left>
      <bottom style="thin">
        <color rgb="FF434343"/>
      </bottom>
    </border>
    <border>
      <bottom style="thin">
        <color rgb="FF434343"/>
      </bottom>
    </border>
    <border>
      <right style="thin">
        <color rgb="FF434343"/>
      </right>
      <bottom style="thin">
        <color rgb="FF434343"/>
      </bottom>
    </border>
    <border>
      <left style="thin">
        <color rgb="FF1A1A1A"/>
      </left>
      <bottom style="thin">
        <color rgb="FF1A1A1A"/>
      </bottom>
    </border>
    <border>
      <left style="thin">
        <color rgb="FFE38828"/>
      </left>
      <bottom style="thin">
        <color rgb="FFE38828"/>
      </bottom>
    </border>
    <border>
      <left style="thin">
        <color rgb="FFE38828"/>
      </left>
      <right style="thin">
        <color rgb="FFE38828"/>
      </right>
      <bottom style="thin">
        <color rgb="FFE38828"/>
      </bottom>
    </border>
    <border>
      <right style="thin">
        <color rgb="FF1A1A1A"/>
      </right>
      <bottom style="thin">
        <color rgb="FF1A1A1A"/>
      </bottom>
    </border>
    <border>
      <left style="thin">
        <color rgb="FFE38828"/>
      </left>
      <top style="thin">
        <color rgb="FFE38828"/>
      </top>
      <bottom style="thin">
        <color rgb="FFE38828"/>
      </bottom>
    </border>
    <border>
      <left style="thin">
        <color rgb="FFE38828"/>
      </left>
      <right style="thin">
        <color rgb="FFE38828"/>
      </right>
      <top style="thin">
        <color rgb="FFE38828"/>
      </top>
      <bottom style="thin">
        <color rgb="FFE38828"/>
      </bottom>
    </border>
    <border>
      <left style="thin">
        <color rgb="FF1A1A1A"/>
      </left>
    </border>
    <border>
      <right style="thin">
        <color rgb="FF1A1A1A"/>
      </right>
    </border>
    <border>
      <left style="thin">
        <color rgb="FFE38828"/>
      </left>
      <right style="thin">
        <color rgb="FFE38828"/>
      </right>
      <top style="thin">
        <color rgb="FFE38828"/>
      </top>
    </border>
    <border>
      <left style="thin">
        <color rgb="FF434343"/>
      </left>
      <right style="thin">
        <color rgb="FF1A1A1A"/>
      </right>
      <top style="thin">
        <color rgb="FF434343"/>
      </top>
      <bottom style="thin">
        <color rgb="FF434343"/>
      </bottom>
    </border>
    <border>
      <top style="thin">
        <color rgb="FFB45F06"/>
      </top>
      <bottom style="thin">
        <color rgb="FFB45F06"/>
      </bottom>
    </border>
    <border>
      <left style="thin">
        <color rgb="FFB45F06"/>
      </left>
      <right style="thin">
        <color rgb="FFB45F06"/>
      </right>
      <top style="thin">
        <color rgb="FFB45F06"/>
      </top>
      <bottom style="thin">
        <color rgb="FFB45F06"/>
      </bottom>
    </border>
    <border>
      <left style="thin">
        <color rgb="FFB45F06"/>
      </left>
      <right style="thin">
        <color rgb="FFB45F06"/>
      </right>
      <top style="thin">
        <color rgb="FFB45F06"/>
      </top>
    </border>
    <border>
      <top style="thin">
        <color rgb="FF990000"/>
      </top>
      <bottom style="thin">
        <color rgb="FF990000"/>
      </bottom>
    </border>
    <border>
      <left style="thin">
        <color rgb="FF990000"/>
      </left>
      <right style="thin">
        <color rgb="FF990000"/>
      </right>
      <top style="thin">
        <color rgb="FF990000"/>
      </top>
      <bottom style="thin">
        <color rgb="FF990000"/>
      </bottom>
    </border>
    <border>
      <left style="thin">
        <color rgb="FF990000"/>
      </left>
      <right style="thin">
        <color rgb="FF990000"/>
      </right>
      <top style="thin">
        <color rgb="FF990000"/>
      </top>
    </border>
    <border>
      <top style="thin">
        <color rgb="FF741B47"/>
      </top>
      <bottom style="thin">
        <color rgb="FF741B47"/>
      </bottom>
    </border>
    <border>
      <left style="thin">
        <color rgb="FF741B47"/>
      </left>
      <right style="thin">
        <color rgb="FF741B47"/>
      </right>
      <top style="thin">
        <color rgb="FF741B47"/>
      </top>
      <bottom style="thin">
        <color rgb="FF741B47"/>
      </bottom>
    </border>
    <border>
      <left style="thin">
        <color rgb="FF1A1A1A"/>
      </left>
      <right style="thin">
        <color rgb="FF1A1A1A"/>
      </right>
    </border>
    <border>
      <left style="thin">
        <color rgb="FF741B47"/>
      </left>
      <right style="thin">
        <color rgb="FF741B47"/>
      </right>
      <top style="thin">
        <color rgb="FF741B47"/>
      </top>
    </border>
    <border>
      <right style="thin">
        <color rgb="FF4C1130"/>
      </right>
      <top style="thin">
        <color rgb="FF4C1130"/>
      </top>
      <bottom style="thin">
        <color rgb="FF4C1130"/>
      </bottom>
    </border>
    <border>
      <left style="thin">
        <color rgb="FF4C1130"/>
      </left>
      <right style="thin">
        <color rgb="FF4C1130"/>
      </right>
      <top style="thin">
        <color rgb="FF4C1130"/>
      </top>
      <bottom style="thin">
        <color rgb="FF4C1130"/>
      </bottom>
    </border>
    <border>
      <left style="thin">
        <color rgb="FF4C1130"/>
      </left>
      <right style="thin">
        <color rgb="FF4C1130"/>
      </right>
      <top style="thin">
        <color rgb="FF4C1130"/>
      </top>
    </border>
    <border>
      <right style="thin">
        <color rgb="FF351C75"/>
      </right>
      <top style="thin">
        <color rgb="FF351C75"/>
      </top>
      <bottom style="thin">
        <color rgb="FF351C75"/>
      </bottom>
    </border>
    <border>
      <left style="thin">
        <color rgb="FF351C75"/>
      </left>
      <right style="thin">
        <color rgb="FF351C75"/>
      </right>
      <top style="thin">
        <color rgb="FF351C75"/>
      </top>
      <bottom style="thin">
        <color rgb="FF351C75"/>
      </bottom>
    </border>
    <border>
      <top style="thin">
        <color rgb="FF1155CC"/>
      </top>
      <bottom style="thin">
        <color rgb="FF1155CC"/>
      </bottom>
    </border>
    <border>
      <left style="thin">
        <color rgb="FF1155CC"/>
      </left>
      <right style="thin">
        <color rgb="FF1155CC"/>
      </right>
      <bottom style="thin">
        <color rgb="FF1155CC"/>
      </bottom>
    </border>
    <border>
      <left style="thin">
        <color rgb="FF1155CC"/>
      </left>
      <right style="thin">
        <color rgb="FF1155CC"/>
      </right>
      <top style="thin">
        <color rgb="FF1155CC"/>
      </top>
      <bottom style="thin">
        <color rgb="FF1155CC"/>
      </bottom>
    </border>
    <border>
      <left style="thin">
        <color rgb="FF1155CC"/>
      </left>
      <right style="thin">
        <color rgb="FF1155CC"/>
      </right>
      <top style="thin">
        <color rgb="FF1155CC"/>
      </top>
    </border>
    <border>
      <right style="thin">
        <color rgb="FF134F5C"/>
      </right>
      <top style="thin">
        <color rgb="FF134F5C"/>
      </top>
      <bottom style="thin">
        <color rgb="FF134F5C"/>
      </bottom>
    </border>
    <border>
      <left style="thin">
        <color rgb="FF134F5C"/>
      </left>
      <right style="thin">
        <color rgb="FF134F5C"/>
      </right>
      <top style="thin">
        <color rgb="FF134F5C"/>
      </top>
      <bottom style="thin">
        <color rgb="FF134F5C"/>
      </bottom>
    </border>
    <border>
      <right style="thin">
        <color rgb="FF134F5C"/>
      </right>
      <top style="thin">
        <color rgb="FF134F5C"/>
      </top>
    </border>
    <border>
      <left style="thin">
        <color rgb="FF134F5C"/>
      </left>
      <right style="thin">
        <color rgb="FF134F5C"/>
      </right>
      <top style="thin">
        <color rgb="FF134F5C"/>
      </top>
    </border>
    <border>
      <right style="thin">
        <color rgb="FF38761D"/>
      </right>
      <top style="thin">
        <color rgb="FF38761D"/>
      </top>
      <bottom style="thin">
        <color rgb="FF38761D"/>
      </bottom>
    </border>
    <border>
      <left style="thin">
        <color rgb="FF38761D"/>
      </left>
      <right style="thin">
        <color rgb="FF38761D"/>
      </right>
      <top style="thin">
        <color rgb="FF38761D"/>
      </top>
      <bottom style="thin">
        <color rgb="FF38761D"/>
      </bottom>
    </border>
    <border>
      <left style="thin">
        <color rgb="FF38761D"/>
      </left>
      <right style="thin">
        <color rgb="FF38761D"/>
      </right>
      <top style="thin">
        <color rgb="FF38761D"/>
      </top>
    </border>
    <border>
      <left style="thin">
        <color rgb="FF1A1A1A"/>
      </left>
      <right style="thin">
        <color rgb="FFE38828"/>
      </right>
      <top style="thin">
        <color rgb="FF1A1A1A"/>
      </top>
      <bottom style="thin">
        <color rgb="FFE38828"/>
      </bottom>
    </border>
    <border>
      <left style="thin">
        <color rgb="FFE38828"/>
      </left>
      <right style="thin">
        <color rgb="FF1A1A1A"/>
      </right>
      <top style="thin">
        <color rgb="FF1A1A1A"/>
      </top>
      <bottom style="thin">
        <color rgb="FFE38828"/>
      </bottom>
    </border>
    <border>
      <left style="thin">
        <color rgb="FF1A1A1A"/>
      </left>
      <right style="thin">
        <color rgb="FFE38828"/>
      </right>
      <top style="thin">
        <color rgb="FFE38828"/>
      </top>
      <bottom style="thin">
        <color rgb="FF1A1A1A"/>
      </bottom>
    </border>
    <border>
      <left style="thin">
        <color rgb="FFE38828"/>
      </left>
      <right style="thin">
        <color rgb="FF1A1A1A"/>
      </right>
      <top style="thin">
        <color rgb="FFE38828"/>
      </top>
      <bottom style="thin">
        <color rgb="FF1A1A1A"/>
      </bottom>
    </border>
    <border>
      <left style="thin">
        <color rgb="FF1A1A1A"/>
      </left>
      <right style="medium">
        <color rgb="FFB45F06"/>
      </right>
      <bottom style="medium">
        <color rgb="FFB45F06"/>
      </bottom>
    </border>
    <border>
      <left style="medium">
        <color rgb="FFB45F06"/>
      </left>
      <right style="thin">
        <color rgb="FF1A1A1A"/>
      </right>
      <bottom style="medium">
        <color rgb="FFB45F06"/>
      </bottom>
    </border>
    <border>
      <left style="thin">
        <color rgb="FF1A1A1A"/>
      </left>
      <right style="medium">
        <color rgb="FFB45F06"/>
      </right>
      <top style="medium">
        <color rgb="FFB45F06"/>
      </top>
      <bottom style="thin">
        <color rgb="FF1A1A1A"/>
      </bottom>
    </border>
    <border>
      <left style="medium">
        <color rgb="FFB45F06"/>
      </left>
      <right style="thin">
        <color rgb="FF1A1A1A"/>
      </right>
      <top style="medium">
        <color rgb="FFB45F06"/>
      </top>
      <bottom style="thin">
        <color rgb="FF1A1A1A"/>
      </bottom>
    </border>
    <border>
      <left style="thin">
        <color rgb="FF1A1A1A"/>
      </left>
      <right style="medium">
        <color rgb="FF990000"/>
      </right>
      <bottom style="medium">
        <color rgb="FF990000"/>
      </bottom>
    </border>
    <border>
      <left style="medium">
        <color rgb="FF990000"/>
      </left>
      <right style="thin">
        <color rgb="FF1A1A1A"/>
      </right>
      <bottom style="medium">
        <color rgb="FF990000"/>
      </bottom>
    </border>
    <border>
      <left style="thin">
        <color rgb="FF1A1A1A"/>
      </left>
      <right style="medium">
        <color rgb="FF990000"/>
      </right>
      <top style="medium">
        <color rgb="FF990000"/>
      </top>
      <bottom style="thin">
        <color rgb="FF1A1A1A"/>
      </bottom>
    </border>
    <border>
      <left style="medium">
        <color rgb="FF990000"/>
      </left>
      <right style="thin">
        <color rgb="FF1A1A1A"/>
      </right>
      <top style="medium">
        <color rgb="FF990000"/>
      </top>
      <bottom style="thin">
        <color rgb="FF1A1A1A"/>
      </bottom>
    </border>
    <border>
      <left style="thin">
        <color rgb="FF1A1A1A"/>
      </left>
      <right style="medium">
        <color rgb="FF741B47"/>
      </right>
      <bottom style="medium">
        <color rgb="FF741B47"/>
      </bottom>
    </border>
    <border>
      <left style="medium">
        <color rgb="FF741B47"/>
      </left>
      <right style="thin">
        <color rgb="FF1A1A1A"/>
      </right>
      <bottom style="medium">
        <color rgb="FF741B47"/>
      </bottom>
    </border>
    <border>
      <left style="thin">
        <color rgb="FF1A1A1A"/>
      </left>
      <right style="medium">
        <color rgb="FF741B47"/>
      </right>
      <top style="medium">
        <color rgb="FF741B47"/>
      </top>
      <bottom style="thin">
        <color rgb="FF1A1A1A"/>
      </bottom>
    </border>
    <border>
      <left style="medium">
        <color rgb="FF741B47"/>
      </left>
      <right style="thin">
        <color rgb="FF1A1A1A"/>
      </right>
      <top style="medium">
        <color rgb="FF741B47"/>
      </top>
      <bottom style="thin">
        <color rgb="FF1A1A1A"/>
      </bottom>
    </border>
    <border>
      <left style="thin">
        <color rgb="FF1A1A1A"/>
      </left>
      <right style="medium">
        <color rgb="FF4C1130"/>
      </right>
      <bottom style="medium">
        <color rgb="FF4C1130"/>
      </bottom>
    </border>
    <border>
      <left style="medium">
        <color rgb="FF4C1130"/>
      </left>
      <right style="thin">
        <color rgb="FF1A1A1A"/>
      </right>
      <bottom style="medium">
        <color rgb="FF4C1130"/>
      </bottom>
    </border>
    <border>
      <left style="thin">
        <color rgb="FF1A1A1A"/>
      </left>
      <right style="medium">
        <color rgb="FF4C1130"/>
      </right>
      <top style="medium">
        <color rgb="FF4C1130"/>
      </top>
      <bottom style="thin">
        <color rgb="FF1A1A1A"/>
      </bottom>
    </border>
    <border>
      <left style="medium">
        <color rgb="FF4C1130"/>
      </left>
      <right style="thin">
        <color rgb="FF1A1A1A"/>
      </right>
      <top style="medium">
        <color rgb="FF4C1130"/>
      </top>
      <bottom style="thin">
        <color rgb="FF1A1A1A"/>
      </bottom>
    </border>
    <border>
      <left style="thin">
        <color rgb="FF1A1A1A"/>
      </left>
      <right style="medium">
        <color rgb="FF351C75"/>
      </right>
      <bottom style="medium">
        <color rgb="FF351C75"/>
      </bottom>
    </border>
    <border>
      <left style="medium">
        <color rgb="FF351C75"/>
      </left>
      <right style="thin">
        <color rgb="FF1A1A1A"/>
      </right>
      <bottom style="medium">
        <color rgb="FF351C75"/>
      </bottom>
    </border>
    <border>
      <left style="thin">
        <color rgb="FF1A1A1A"/>
      </left>
      <right style="medium">
        <color rgb="FF351C75"/>
      </right>
      <top style="medium">
        <color rgb="FF351C75"/>
      </top>
      <bottom style="thin">
        <color rgb="FF1A1A1A"/>
      </bottom>
    </border>
    <border>
      <left style="medium">
        <color rgb="FF351C75"/>
      </left>
      <right style="thin">
        <color rgb="FF1A1A1A"/>
      </right>
      <top style="medium">
        <color rgb="FF351C75"/>
      </top>
      <bottom style="thin">
        <color rgb="FF1A1A1A"/>
      </bottom>
    </border>
    <border>
      <left style="thin">
        <color rgb="FF1A1A1A"/>
      </left>
      <right style="medium">
        <color rgb="FF1155CC"/>
      </right>
      <bottom style="medium">
        <color rgb="FF1155CC"/>
      </bottom>
    </border>
    <border>
      <left style="medium">
        <color rgb="FF1155CC"/>
      </left>
      <right style="thin">
        <color rgb="FF1A1A1A"/>
      </right>
      <bottom style="medium">
        <color rgb="FF1155CC"/>
      </bottom>
    </border>
    <border>
      <left style="thin">
        <color rgb="FF1A1A1A"/>
      </left>
      <right style="medium">
        <color rgb="FF1155CC"/>
      </right>
      <top style="medium">
        <color rgb="FF1155CC"/>
      </top>
      <bottom style="thin">
        <color rgb="FF1A1A1A"/>
      </bottom>
    </border>
    <border>
      <left style="medium">
        <color rgb="FF1155CC"/>
      </left>
      <right style="thin">
        <color rgb="FF1A1A1A"/>
      </right>
      <top style="medium">
        <color rgb="FF1155CC"/>
      </top>
      <bottom style="thin">
        <color rgb="FF1A1A1A"/>
      </bottom>
    </border>
    <border>
      <left style="thin">
        <color rgb="FF1A1A1A"/>
      </left>
      <bottom style="medium">
        <color rgb="FF38761D"/>
      </bottom>
    </border>
    <border>
      <left style="medium">
        <color rgb="FF38761D"/>
      </left>
      <right style="thin">
        <color rgb="FF1A1A1A"/>
      </right>
      <bottom style="medium">
        <color rgb="FF38761D"/>
      </bottom>
    </border>
    <border>
      <left style="thin">
        <color rgb="FF1A1A1A"/>
      </left>
      <top style="medium">
        <color rgb="FF38761D"/>
      </top>
      <bottom style="thin">
        <color rgb="FF1A1A1A"/>
      </bottom>
    </border>
    <border>
      <left style="medium">
        <color rgb="FF38761D"/>
      </left>
      <right style="thin">
        <color rgb="FF1A1A1A"/>
      </right>
      <top style="medium">
        <color rgb="FF38761D"/>
      </top>
      <bottom style="thin">
        <color rgb="FF1A1A1A"/>
      </bottom>
    </border>
    <border>
      <left style="thin">
        <color rgb="FFE38828"/>
      </left>
    </border>
    <border>
      <left style="thin">
        <color rgb="FF000000"/>
      </left>
      <top style="thin">
        <color rgb="FF000000"/>
      </top>
    </border>
  </borders>
  <cellStyleXfs count="1">
    <xf borderId="0" fillId="0" fontId="0" numFmtId="0" applyAlignment="1" applyFont="1"/>
  </cellStyleXfs>
  <cellXfs count="145">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2" fillId="2" fontId="1" numFmtId="0" xfId="0" applyAlignment="1" applyBorder="1" applyFont="1">
      <alignment vertical="center"/>
    </xf>
    <xf borderId="3" fillId="2" fontId="2" numFmtId="0" xfId="0" applyAlignment="1" applyBorder="1" applyFont="1">
      <alignment readingOrder="0" vertical="center"/>
    </xf>
    <xf borderId="4" fillId="0" fontId="3" numFmtId="0" xfId="0" applyBorder="1" applyFont="1"/>
    <xf borderId="5" fillId="0" fontId="3" numFmtId="0" xfId="0" applyBorder="1" applyFont="1"/>
    <xf borderId="1" fillId="2" fontId="1" numFmtId="0" xfId="0" applyAlignment="1" applyBorder="1" applyFont="1">
      <alignment vertical="center"/>
    </xf>
    <xf borderId="0" fillId="2" fontId="1" numFmtId="0" xfId="0" applyAlignment="1" applyFont="1">
      <alignment vertical="center"/>
    </xf>
    <xf borderId="6" fillId="2" fontId="1" numFmtId="0" xfId="0" applyAlignment="1" applyBorder="1" applyFont="1">
      <alignment vertical="center"/>
    </xf>
    <xf borderId="7" fillId="2" fontId="1" numFmtId="0" xfId="0" applyAlignment="1" applyBorder="1" applyFont="1">
      <alignment vertical="center"/>
    </xf>
    <xf borderId="8" fillId="3" fontId="4" numFmtId="0" xfId="0" applyAlignment="1" applyBorder="1" applyFill="1" applyFont="1">
      <alignment readingOrder="0" vertical="center"/>
    </xf>
    <xf borderId="9" fillId="0" fontId="3" numFmtId="0" xfId="0" applyBorder="1" applyFont="1"/>
    <xf borderId="10" fillId="0" fontId="3" numFmtId="0" xfId="0" applyBorder="1" applyFont="1"/>
    <xf borderId="11" fillId="2" fontId="5" numFmtId="0" xfId="0" applyAlignment="1" applyBorder="1" applyFont="1">
      <alignment readingOrder="0" vertical="center"/>
    </xf>
    <xf borderId="2" fillId="2" fontId="5" numFmtId="0" xfId="0" applyAlignment="1" applyBorder="1" applyFont="1">
      <alignment readingOrder="0" vertical="center"/>
    </xf>
    <xf borderId="12" fillId="2" fontId="1" numFmtId="0" xfId="0" applyAlignment="1" applyBorder="1" applyFont="1">
      <alignment vertical="center"/>
    </xf>
    <xf borderId="13" fillId="2" fontId="1" numFmtId="0" xfId="0" applyAlignment="1" applyBorder="1" applyFont="1">
      <alignment vertical="center"/>
    </xf>
    <xf borderId="14" fillId="0" fontId="3" numFmtId="0" xfId="0" applyBorder="1" applyFont="1"/>
    <xf borderId="15" fillId="0" fontId="3" numFmtId="0" xfId="0" applyBorder="1" applyFont="1"/>
    <xf borderId="16" fillId="0" fontId="3" numFmtId="0" xfId="0" applyBorder="1" applyFont="1"/>
    <xf borderId="2" fillId="2" fontId="6" numFmtId="0" xfId="0" applyAlignment="1" applyBorder="1" applyFont="1">
      <alignment vertical="center"/>
    </xf>
    <xf borderId="13" fillId="2" fontId="6" numFmtId="0" xfId="0" applyAlignment="1" applyBorder="1" applyFont="1">
      <alignment vertical="center"/>
    </xf>
    <xf borderId="6" fillId="3" fontId="7" numFmtId="0" xfId="0" applyAlignment="1" applyBorder="1" applyFont="1">
      <alignment readingOrder="0" vertical="center"/>
    </xf>
    <xf borderId="6" fillId="3" fontId="8" numFmtId="0" xfId="0" applyAlignment="1" applyBorder="1" applyFont="1">
      <alignment readingOrder="0" vertical="center"/>
    </xf>
    <xf borderId="11" fillId="2" fontId="6" numFmtId="0" xfId="0" applyAlignment="1" applyBorder="1" applyFont="1">
      <alignment vertical="center"/>
    </xf>
    <xf borderId="0" fillId="2" fontId="6" numFmtId="0" xfId="0" applyAlignment="1" applyFont="1">
      <alignment vertical="center"/>
    </xf>
    <xf borderId="17" fillId="2" fontId="9" numFmtId="164" xfId="0" applyAlignment="1" applyBorder="1" applyFont="1" applyNumberFormat="1">
      <alignment readingOrder="0" vertical="center"/>
    </xf>
    <xf borderId="18" fillId="4" fontId="10" numFmtId="0" xfId="0" applyAlignment="1" applyBorder="1" applyFill="1" applyFont="1">
      <alignment readingOrder="0" vertical="center"/>
    </xf>
    <xf borderId="19" fillId="4" fontId="9" numFmtId="164" xfId="0" applyAlignment="1" applyBorder="1" applyFont="1" applyNumberFormat="1">
      <alignment horizontal="center" readingOrder="0" vertical="center"/>
    </xf>
    <xf borderId="20" fillId="2" fontId="8" numFmtId="0" xfId="0" applyAlignment="1" applyBorder="1" applyFont="1">
      <alignment readingOrder="0" vertical="center"/>
    </xf>
    <xf borderId="13" fillId="2" fontId="8" numFmtId="164" xfId="0" applyAlignment="1" applyBorder="1" applyFont="1" applyNumberFormat="1">
      <alignment readingOrder="0" vertical="center"/>
    </xf>
    <xf borderId="21" fillId="4" fontId="8" numFmtId="0" xfId="0" applyAlignment="1" applyBorder="1" applyFont="1">
      <alignment vertical="center"/>
    </xf>
    <xf borderId="22" fillId="4" fontId="9" numFmtId="164" xfId="0" applyAlignment="1" applyBorder="1" applyFont="1" applyNumberFormat="1">
      <alignment horizontal="center" readingOrder="0" vertical="center"/>
    </xf>
    <xf borderId="11" fillId="2" fontId="8" numFmtId="0" xfId="0" applyAlignment="1" applyBorder="1" applyFont="1">
      <alignment readingOrder="0" vertical="center"/>
    </xf>
    <xf borderId="2" fillId="2" fontId="11" numFmtId="164" xfId="0" applyAlignment="1" applyBorder="1" applyFont="1" applyNumberFormat="1">
      <alignment readingOrder="0" vertical="center"/>
    </xf>
    <xf borderId="3" fillId="2" fontId="9" numFmtId="164" xfId="0" applyAlignment="1" applyBorder="1" applyFont="1" applyNumberFormat="1">
      <alignment readingOrder="0" shrinkToFit="0" vertical="center" wrapText="1"/>
    </xf>
    <xf borderId="23" fillId="0" fontId="3" numFmtId="0" xfId="0" applyBorder="1" applyFont="1"/>
    <xf borderId="24" fillId="0" fontId="3" numFmtId="0" xfId="0" applyBorder="1" applyFont="1"/>
    <xf borderId="17" fillId="0" fontId="3" numFmtId="0" xfId="0" applyBorder="1" applyFont="1"/>
    <xf borderId="20" fillId="0" fontId="3" numFmtId="0" xfId="0" applyBorder="1" applyFont="1"/>
    <xf borderId="25" fillId="4" fontId="9" numFmtId="164" xfId="0" applyAlignment="1" applyBorder="1" applyFont="1" applyNumberFormat="1">
      <alignment horizontal="center" readingOrder="0" vertical="center"/>
    </xf>
    <xf borderId="26" fillId="3" fontId="7" numFmtId="0" xfId="0" applyAlignment="1" applyBorder="1" applyFont="1">
      <alignment readingOrder="0" vertical="center"/>
    </xf>
    <xf borderId="27" fillId="5" fontId="10" numFmtId="0" xfId="0" applyAlignment="1" applyBorder="1" applyFill="1" applyFont="1">
      <alignment readingOrder="0" vertical="center"/>
    </xf>
    <xf borderId="28" fillId="5" fontId="9" numFmtId="164" xfId="0" applyAlignment="1" applyBorder="1" applyFont="1" applyNumberFormat="1">
      <alignment horizontal="center" readingOrder="0" vertical="center"/>
    </xf>
    <xf borderId="12" fillId="2" fontId="8" numFmtId="164" xfId="0" applyAlignment="1" applyBorder="1" applyFont="1" applyNumberFormat="1">
      <alignment readingOrder="0" vertical="center"/>
    </xf>
    <xf borderId="27" fillId="5" fontId="8" numFmtId="0" xfId="0" applyAlignment="1" applyBorder="1" applyFont="1">
      <alignment vertical="center"/>
    </xf>
    <xf borderId="2" fillId="2" fontId="8" numFmtId="165" xfId="0" applyAlignment="1" applyBorder="1" applyFont="1" applyNumberFormat="1">
      <alignment readingOrder="0" vertical="center"/>
    </xf>
    <xf borderId="28" fillId="5" fontId="9" numFmtId="165" xfId="0" applyAlignment="1" applyBorder="1" applyFont="1" applyNumberFormat="1">
      <alignment horizontal="center" readingOrder="0" vertical="center"/>
    </xf>
    <xf borderId="13" fillId="2" fontId="8" numFmtId="0" xfId="0" applyAlignment="1" applyBorder="1" applyFont="1">
      <alignment vertical="center"/>
    </xf>
    <xf borderId="2" fillId="2" fontId="8" numFmtId="164" xfId="0" applyAlignment="1" applyBorder="1" applyFont="1" applyNumberFormat="1">
      <alignment readingOrder="0" vertical="center"/>
    </xf>
    <xf borderId="2" fillId="2" fontId="12" numFmtId="0" xfId="0" applyAlignment="1" applyBorder="1" applyFont="1">
      <alignment readingOrder="0" vertical="center"/>
    </xf>
    <xf borderId="1" fillId="2" fontId="8" numFmtId="164" xfId="0" applyAlignment="1" applyBorder="1" applyFont="1" applyNumberFormat="1">
      <alignment readingOrder="0" vertical="center"/>
    </xf>
    <xf borderId="7" fillId="2" fontId="8" numFmtId="0" xfId="0" applyAlignment="1" applyBorder="1" applyFont="1">
      <alignment vertical="center"/>
    </xf>
    <xf borderId="13" fillId="2" fontId="9" numFmtId="164" xfId="0" applyAlignment="1" applyBorder="1" applyFont="1" applyNumberFormat="1">
      <alignment readingOrder="0" vertical="center"/>
    </xf>
    <xf borderId="26" fillId="3" fontId="8" numFmtId="0" xfId="0" applyAlignment="1" applyBorder="1" applyFont="1">
      <alignment readingOrder="0" vertical="center"/>
    </xf>
    <xf borderId="2" fillId="2" fontId="6" numFmtId="0" xfId="0" applyAlignment="1" applyBorder="1" applyFont="1">
      <alignment readingOrder="0" vertical="center"/>
    </xf>
    <xf borderId="12" fillId="2" fontId="8" numFmtId="0" xfId="0" applyAlignment="1" applyBorder="1" applyFont="1">
      <alignment readingOrder="0" vertical="center"/>
    </xf>
    <xf borderId="13" fillId="2" fontId="8" numFmtId="0" xfId="0" applyAlignment="1" applyBorder="1" applyFont="1">
      <alignment readingOrder="0" vertical="center"/>
    </xf>
    <xf borderId="3" fillId="2" fontId="8" numFmtId="0" xfId="0" applyAlignment="1" applyBorder="1" applyFont="1">
      <alignment vertical="center"/>
    </xf>
    <xf borderId="29" fillId="5" fontId="9" numFmtId="164" xfId="0" applyAlignment="1" applyBorder="1" applyFont="1" applyNumberFormat="1">
      <alignment horizontal="center" readingOrder="0" vertical="center"/>
    </xf>
    <xf borderId="30" fillId="6" fontId="10" numFmtId="0" xfId="0" applyAlignment="1" applyBorder="1" applyFill="1" applyFont="1">
      <alignment readingOrder="0" vertical="center"/>
    </xf>
    <xf borderId="31" fillId="6" fontId="9" numFmtId="164" xfId="0" applyAlignment="1" applyBorder="1" applyFont="1" applyNumberFormat="1">
      <alignment horizontal="center" readingOrder="0" vertical="center"/>
    </xf>
    <xf borderId="30" fillId="6" fontId="8" numFmtId="0" xfId="0" applyAlignment="1" applyBorder="1" applyFont="1">
      <alignment vertical="center"/>
    </xf>
    <xf borderId="2" fillId="2" fontId="8" numFmtId="0" xfId="0" applyAlignment="1" applyBorder="1" applyFont="1">
      <alignment vertical="center"/>
    </xf>
    <xf borderId="1" fillId="2" fontId="8" numFmtId="0" xfId="0" applyAlignment="1" applyBorder="1" applyFont="1">
      <alignment vertical="center"/>
    </xf>
    <xf borderId="12" fillId="2" fontId="8" numFmtId="0" xfId="0" applyAlignment="1" applyBorder="1" applyFont="1">
      <alignment vertical="center"/>
    </xf>
    <xf borderId="7" fillId="2" fontId="8" numFmtId="0" xfId="0" applyAlignment="1" applyBorder="1" applyFont="1">
      <alignment readingOrder="0" vertical="center"/>
    </xf>
    <xf borderId="11" fillId="2" fontId="7" numFmtId="0" xfId="0" applyAlignment="1" applyBorder="1" applyFont="1">
      <alignment readingOrder="0" vertical="center"/>
    </xf>
    <xf borderId="32" fillId="6" fontId="9" numFmtId="164" xfId="0" applyAlignment="1" applyBorder="1" applyFont="1" applyNumberFormat="1">
      <alignment horizontal="center" readingOrder="0" vertical="center"/>
    </xf>
    <xf borderId="33" fillId="7" fontId="10" numFmtId="0" xfId="0" applyAlignment="1" applyBorder="1" applyFill="1" applyFont="1">
      <alignment readingOrder="0" vertical="center"/>
    </xf>
    <xf borderId="34" fillId="7" fontId="9" numFmtId="164" xfId="0" applyAlignment="1" applyBorder="1" applyFont="1" applyNumberFormat="1">
      <alignment horizontal="center" readingOrder="0" vertical="center"/>
    </xf>
    <xf borderId="33" fillId="7" fontId="8" numFmtId="0" xfId="0" applyAlignment="1" applyBorder="1" applyFont="1">
      <alignment vertical="center"/>
    </xf>
    <xf borderId="24" fillId="3" fontId="8" numFmtId="0" xfId="0" applyAlignment="1" applyBorder="1" applyFont="1">
      <alignment readingOrder="0" vertical="center"/>
    </xf>
    <xf borderId="35" fillId="2" fontId="8" numFmtId="0" xfId="0" applyAlignment="1" applyBorder="1" applyFont="1">
      <alignment vertical="center"/>
    </xf>
    <xf borderId="4" fillId="2" fontId="8" numFmtId="0" xfId="0" applyAlignment="1" applyBorder="1" applyFont="1">
      <alignment vertical="center"/>
    </xf>
    <xf borderId="36" fillId="7" fontId="9" numFmtId="164" xfId="0" applyAlignment="1" applyBorder="1" applyFont="1" applyNumberFormat="1">
      <alignment horizontal="center" readingOrder="0" vertical="center"/>
    </xf>
    <xf borderId="37" fillId="8" fontId="10" numFmtId="0" xfId="0" applyAlignment="1" applyBorder="1" applyFill="1" applyFont="1">
      <alignment readingOrder="0" vertical="center"/>
    </xf>
    <xf borderId="38" fillId="8" fontId="9" numFmtId="164" xfId="0" applyAlignment="1" applyBorder="1" applyFont="1" applyNumberFormat="1">
      <alignment horizontal="center" readingOrder="0" vertical="center"/>
    </xf>
    <xf borderId="37" fillId="8" fontId="8" numFmtId="0" xfId="0" applyAlignment="1" applyBorder="1" applyFont="1">
      <alignment readingOrder="0" vertical="center"/>
    </xf>
    <xf borderId="2" fillId="2" fontId="8" numFmtId="0" xfId="0" applyAlignment="1" applyBorder="1" applyFont="1">
      <alignment readingOrder="0" vertical="center"/>
    </xf>
    <xf borderId="39" fillId="8" fontId="9" numFmtId="164" xfId="0" applyAlignment="1" applyBorder="1" applyFont="1" applyNumberFormat="1">
      <alignment horizontal="center" readingOrder="0" vertical="center"/>
    </xf>
    <xf borderId="40" fillId="9" fontId="10" numFmtId="0" xfId="0" applyAlignment="1" applyBorder="1" applyFill="1" applyFont="1">
      <alignment readingOrder="0" vertical="center"/>
    </xf>
    <xf borderId="41" fillId="9" fontId="9" numFmtId="164" xfId="0" applyAlignment="1" applyBorder="1" applyFont="1" applyNumberFormat="1">
      <alignment horizontal="center" readingOrder="0" vertical="center"/>
    </xf>
    <xf borderId="40" fillId="9" fontId="8" numFmtId="0" xfId="0" applyAlignment="1" applyBorder="1" applyFont="1">
      <alignment vertical="center"/>
    </xf>
    <xf borderId="42" fillId="10" fontId="10" numFmtId="0" xfId="0" applyAlignment="1" applyBorder="1" applyFill="1" applyFont="1">
      <alignment readingOrder="0" vertical="center"/>
    </xf>
    <xf borderId="43" fillId="10" fontId="9" numFmtId="164" xfId="0" applyAlignment="1" applyBorder="1" applyFont="1" applyNumberFormat="1">
      <alignment horizontal="center" readingOrder="0" vertical="center"/>
    </xf>
    <xf borderId="42" fillId="10" fontId="8" numFmtId="0" xfId="0" applyAlignment="1" applyBorder="1" applyFont="1">
      <alignment vertical="center"/>
    </xf>
    <xf borderId="44" fillId="10" fontId="9" numFmtId="164" xfId="0" applyAlignment="1" applyBorder="1" applyFont="1" applyNumberFormat="1">
      <alignment horizontal="center" readingOrder="0" vertical="center"/>
    </xf>
    <xf borderId="45" fillId="10" fontId="9" numFmtId="164" xfId="0" applyAlignment="1" applyBorder="1" applyFont="1" applyNumberFormat="1">
      <alignment horizontal="center" readingOrder="0" vertical="center"/>
    </xf>
    <xf borderId="46" fillId="11" fontId="10" numFmtId="0" xfId="0" applyAlignment="1" applyBorder="1" applyFill="1" applyFont="1">
      <alignment readingOrder="0" vertical="center"/>
    </xf>
    <xf borderId="47" fillId="11" fontId="9" numFmtId="164" xfId="0" applyAlignment="1" applyBorder="1" applyFont="1" applyNumberFormat="1">
      <alignment horizontal="center" readingOrder="0" vertical="center"/>
    </xf>
    <xf borderId="1" fillId="2" fontId="8" numFmtId="0" xfId="0" applyAlignment="1" applyBorder="1" applyFont="1">
      <alignment readingOrder="0" vertical="center"/>
    </xf>
    <xf borderId="48" fillId="11" fontId="8" numFmtId="0" xfId="0" applyAlignment="1" applyBorder="1" applyFont="1">
      <alignment vertical="center"/>
    </xf>
    <xf borderId="49" fillId="11" fontId="9" numFmtId="164" xfId="0" applyAlignment="1" applyBorder="1" applyFont="1" applyNumberFormat="1">
      <alignment horizontal="center" readingOrder="0" vertical="center"/>
    </xf>
    <xf borderId="26" fillId="3" fontId="13" numFmtId="0" xfId="0" applyAlignment="1" applyBorder="1" applyFont="1">
      <alignment readingOrder="0" vertical="center"/>
    </xf>
    <xf borderId="50" fillId="12" fontId="10" numFmtId="0" xfId="0" applyAlignment="1" applyBorder="1" applyFill="1" applyFont="1">
      <alignment readingOrder="0" vertical="center"/>
    </xf>
    <xf borderId="51" fillId="12" fontId="9" numFmtId="164" xfId="0" applyAlignment="1" applyBorder="1" applyFont="1" applyNumberFormat="1">
      <alignment horizontal="center" readingOrder="0" vertical="center"/>
    </xf>
    <xf borderId="50" fillId="12" fontId="8" numFmtId="0" xfId="0" applyAlignment="1" applyBorder="1" applyFont="1">
      <alignment vertical="center"/>
    </xf>
    <xf borderId="52" fillId="12" fontId="9" numFmtId="164" xfId="0" applyAlignment="1" applyBorder="1" applyFont="1" applyNumberFormat="1">
      <alignment horizontal="center" readingOrder="0" vertical="center"/>
    </xf>
    <xf borderId="51" fillId="12" fontId="14" numFmtId="164" xfId="0" applyAlignment="1" applyBorder="1" applyFont="1" applyNumberFormat="1">
      <alignment horizontal="center" readingOrder="0" vertical="center"/>
    </xf>
    <xf borderId="2" fillId="2" fontId="15" numFmtId="0" xfId="0" applyAlignment="1" applyBorder="1" applyFont="1">
      <alignment vertical="center"/>
    </xf>
    <xf borderId="0" fillId="4" fontId="9" numFmtId="164" xfId="0" applyAlignment="1" applyFont="1" applyNumberFormat="1">
      <alignment horizontal="center" readingOrder="0" vertical="center"/>
    </xf>
    <xf borderId="0" fillId="2" fontId="1" numFmtId="0" xfId="0" applyFont="1"/>
    <xf borderId="0" fillId="2" fontId="16" numFmtId="0" xfId="0" applyAlignment="1" applyFont="1">
      <alignment readingOrder="0" vertical="center"/>
    </xf>
    <xf borderId="2" fillId="2" fontId="1" numFmtId="0" xfId="0" applyBorder="1" applyFont="1"/>
    <xf borderId="3" fillId="2" fontId="16" numFmtId="0" xfId="0" applyAlignment="1" applyBorder="1" applyFont="1">
      <alignment readingOrder="0" vertical="center"/>
    </xf>
    <xf borderId="13" fillId="2" fontId="6" numFmtId="0" xfId="0" applyBorder="1" applyFont="1"/>
    <xf borderId="53" fillId="4" fontId="10" numFmtId="0" xfId="0" applyAlignment="1" applyBorder="1" applyFont="1">
      <alignment readingOrder="0" vertical="center"/>
    </xf>
    <xf borderId="54" fillId="4" fontId="9" numFmtId="164" xfId="0" applyAlignment="1" applyBorder="1" applyFont="1" applyNumberFormat="1">
      <alignment horizontal="center" readingOrder="0" vertical="center"/>
    </xf>
    <xf borderId="55" fillId="4" fontId="8" numFmtId="0" xfId="0" applyAlignment="1" applyBorder="1" applyFont="1">
      <alignment vertical="center"/>
    </xf>
    <xf borderId="56" fillId="4" fontId="9" numFmtId="164" xfId="0" applyAlignment="1" applyBorder="1" applyFont="1" applyNumberFormat="1">
      <alignment horizontal="center" readingOrder="0" vertical="center"/>
    </xf>
    <xf borderId="57" fillId="5" fontId="10" numFmtId="0" xfId="0" applyAlignment="1" applyBorder="1" applyFont="1">
      <alignment readingOrder="0" vertical="center"/>
    </xf>
    <xf borderId="58" fillId="5" fontId="9" numFmtId="164" xfId="0" applyAlignment="1" applyBorder="1" applyFont="1" applyNumberFormat="1">
      <alignment horizontal="center" readingOrder="0" vertical="center"/>
    </xf>
    <xf borderId="2" fillId="2" fontId="6" numFmtId="0" xfId="0" applyBorder="1" applyFont="1"/>
    <xf borderId="59" fillId="5" fontId="8" numFmtId="0" xfId="0" applyAlignment="1" applyBorder="1" applyFont="1">
      <alignment vertical="center"/>
    </xf>
    <xf borderId="60" fillId="5" fontId="9" numFmtId="164" xfId="0" applyAlignment="1" applyBorder="1" applyFont="1" applyNumberFormat="1">
      <alignment horizontal="center" readingOrder="0" vertical="center"/>
    </xf>
    <xf borderId="61" fillId="6" fontId="17" numFmtId="0" xfId="0" applyAlignment="1" applyBorder="1" applyFont="1">
      <alignment readingOrder="0" vertical="center"/>
    </xf>
    <xf borderId="62" fillId="6" fontId="9" numFmtId="164" xfId="0" applyAlignment="1" applyBorder="1" applyFont="1" applyNumberFormat="1">
      <alignment horizontal="center" readingOrder="0" vertical="center"/>
    </xf>
    <xf borderId="63" fillId="6" fontId="8" numFmtId="0" xfId="0" applyAlignment="1" applyBorder="1" applyFont="1">
      <alignment vertical="center"/>
    </xf>
    <xf borderId="64" fillId="6" fontId="9" numFmtId="164" xfId="0" applyAlignment="1" applyBorder="1" applyFont="1" applyNumberFormat="1">
      <alignment horizontal="center" readingOrder="0" vertical="center"/>
    </xf>
    <xf borderId="65" fillId="7" fontId="17" numFmtId="0" xfId="0" applyAlignment="1" applyBorder="1" applyFont="1">
      <alignment readingOrder="0" vertical="center"/>
    </xf>
    <xf borderId="66" fillId="7" fontId="9" numFmtId="164" xfId="0" applyAlignment="1" applyBorder="1" applyFont="1" applyNumberFormat="1">
      <alignment horizontal="center" readingOrder="0" vertical="center"/>
    </xf>
    <xf borderId="67" fillId="7" fontId="8" numFmtId="0" xfId="0" applyAlignment="1" applyBorder="1" applyFont="1">
      <alignment vertical="center"/>
    </xf>
    <xf borderId="68" fillId="7" fontId="9" numFmtId="164" xfId="0" applyAlignment="1" applyBorder="1" applyFont="1" applyNumberFormat="1">
      <alignment horizontal="center" readingOrder="0" vertical="center"/>
    </xf>
    <xf borderId="69" fillId="8" fontId="17" numFmtId="0" xfId="0" applyAlignment="1" applyBorder="1" applyFont="1">
      <alignment readingOrder="0" vertical="center"/>
    </xf>
    <xf borderId="70" fillId="8" fontId="9" numFmtId="164" xfId="0" applyAlignment="1" applyBorder="1" applyFont="1" applyNumberFormat="1">
      <alignment horizontal="center" readingOrder="0" vertical="center"/>
    </xf>
    <xf borderId="71" fillId="8" fontId="8" numFmtId="0" xfId="0" applyAlignment="1" applyBorder="1" applyFont="1">
      <alignment readingOrder="0" vertical="center"/>
    </xf>
    <xf borderId="72" fillId="8" fontId="9" numFmtId="164" xfId="0" applyAlignment="1" applyBorder="1" applyFont="1" applyNumberFormat="1">
      <alignment horizontal="center" readingOrder="0" vertical="center"/>
    </xf>
    <xf borderId="73" fillId="9" fontId="10" numFmtId="0" xfId="0" applyAlignment="1" applyBorder="1" applyFont="1">
      <alignment readingOrder="0" vertical="center"/>
    </xf>
    <xf borderId="74" fillId="9" fontId="9" numFmtId="164" xfId="0" applyAlignment="1" applyBorder="1" applyFont="1" applyNumberFormat="1">
      <alignment horizontal="center" readingOrder="0" vertical="center"/>
    </xf>
    <xf borderId="75" fillId="9" fontId="8" numFmtId="0" xfId="0" applyAlignment="1" applyBorder="1" applyFont="1">
      <alignment vertical="center"/>
    </xf>
    <xf borderId="76" fillId="9" fontId="9" numFmtId="164" xfId="0" applyAlignment="1" applyBorder="1" applyFont="1" applyNumberFormat="1">
      <alignment horizontal="center" readingOrder="0" vertical="center"/>
    </xf>
    <xf borderId="77" fillId="10" fontId="10" numFmtId="0" xfId="0" applyAlignment="1" applyBorder="1" applyFont="1">
      <alignment readingOrder="0" vertical="center"/>
    </xf>
    <xf borderId="78" fillId="10" fontId="9" numFmtId="164" xfId="0" applyAlignment="1" applyBorder="1" applyFont="1" applyNumberFormat="1">
      <alignment horizontal="center" readingOrder="0" vertical="center"/>
    </xf>
    <xf borderId="79" fillId="10" fontId="8" numFmtId="0" xfId="0" applyAlignment="1" applyBorder="1" applyFont="1">
      <alignment vertical="center"/>
    </xf>
    <xf borderId="80" fillId="10" fontId="9" numFmtId="164" xfId="0" applyAlignment="1" applyBorder="1" applyFont="1" applyNumberFormat="1">
      <alignment horizontal="center" readingOrder="0" vertical="center"/>
    </xf>
    <xf borderId="81" fillId="12" fontId="10" numFmtId="0" xfId="0" applyAlignment="1" applyBorder="1" applyFont="1">
      <alignment readingOrder="0" vertical="center"/>
    </xf>
    <xf borderId="82" fillId="12" fontId="9" numFmtId="164" xfId="0" applyAlignment="1" applyBorder="1" applyFont="1" applyNumberFormat="1">
      <alignment horizontal="center" readingOrder="0" vertical="center"/>
    </xf>
    <xf borderId="83" fillId="12" fontId="7" numFmtId="0" xfId="0" applyAlignment="1" applyBorder="1" applyFont="1">
      <alignment readingOrder="0" vertical="center"/>
    </xf>
    <xf borderId="84" fillId="12" fontId="14" numFmtId="164" xfId="0" applyAlignment="1" applyBorder="1" applyFont="1" applyNumberFormat="1">
      <alignment horizontal="center" readingOrder="0" vertical="center"/>
    </xf>
    <xf borderId="55" fillId="4" fontId="7" numFmtId="0" xfId="0" applyAlignment="1" applyBorder="1" applyFont="1">
      <alignment readingOrder="0" vertical="center"/>
    </xf>
    <xf borderId="85" fillId="4" fontId="9" numFmtId="164" xfId="0" applyAlignment="1" applyBorder="1" applyFont="1" applyNumberFormat="1">
      <alignment horizontal="center" readingOrder="0" vertical="center"/>
    </xf>
    <xf borderId="86" fillId="2" fontId="1" numFmtId="0" xfId="0" applyAlignment="1" applyBorder="1" applyFont="1">
      <alignment vertical="center"/>
    </xf>
    <xf borderId="0" fillId="2" fontId="15" numFmtId="0" xfId="0" applyAlignment="1" applyFont="1">
      <alignment vertical="center"/>
    </xf>
    <xf borderId="86" fillId="2" fontId="15"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9NcNYMFHartyMoAjplOCPB2cu-iztbHFpX4i19eHyhQ" TargetMode="External"/><Relationship Id="rId2" Type="http://schemas.openxmlformats.org/officeDocument/2006/relationships/hyperlink" Target="https://bit.ly/RCBalanc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3"/>
    <col customWidth="1" min="3" max="3" width="24.0"/>
    <col customWidth="1" min="4" max="4" width="15.75"/>
    <col customWidth="1" min="5" max="5" width="9.88"/>
    <col customWidth="1" min="21" max="23" width="2.63"/>
  </cols>
  <sheetData>
    <row r="1" ht="15.0" customHeight="1">
      <c r="A1" s="1"/>
      <c r="B1" s="2"/>
      <c r="C1" s="3" t="s">
        <v>0</v>
      </c>
      <c r="D1" s="4"/>
      <c r="E1" s="5"/>
      <c r="F1" s="6"/>
      <c r="G1" s="2"/>
      <c r="H1" s="2"/>
      <c r="I1" s="2"/>
      <c r="J1" s="2"/>
      <c r="K1" s="2"/>
      <c r="L1" s="2"/>
      <c r="M1" s="2"/>
      <c r="N1" s="2"/>
      <c r="O1" s="2"/>
      <c r="P1" s="2"/>
      <c r="Q1" s="2"/>
      <c r="R1" s="2"/>
      <c r="S1" s="2"/>
      <c r="T1" s="2"/>
      <c r="U1" s="2"/>
      <c r="V1" s="2"/>
      <c r="W1" s="7"/>
    </row>
    <row r="2" ht="15.0" customHeight="1">
      <c r="A2" s="8" t="str">
        <f>IFERROR(__xludf.DUMMYFUNCTION("IMPORTRANGE(""https://docs.google.com/spreadsheets/d/19NcNYMFHartyMoAjplOCPB2cu-iztbHFpX4i19eHyhQ/"",""Timeline!A2:F"")"),"")</f>
        <v/>
      </c>
      <c r="B2" s="9"/>
      <c r="C2" s="10" t="str">
        <f>IFERROR(__xludf.DUMMYFUNCTION("""COMPUTED_VALUE"""),"Timeline of Robocraft 1 Updates")</f>
        <v>Timeline of Robocraft 1 Updates</v>
      </c>
      <c r="D2" s="11"/>
      <c r="E2" s="11"/>
      <c r="F2" s="12"/>
      <c r="G2" s="13"/>
      <c r="H2" s="14"/>
      <c r="I2" s="14"/>
      <c r="J2" s="2"/>
      <c r="K2" s="2"/>
      <c r="L2" s="2"/>
      <c r="M2" s="2"/>
      <c r="N2" s="2"/>
      <c r="O2" s="2"/>
      <c r="P2" s="2"/>
      <c r="Q2" s="2"/>
      <c r="R2" s="2"/>
      <c r="S2" s="2"/>
      <c r="T2" s="2"/>
      <c r="U2" s="2"/>
      <c r="V2" s="2"/>
      <c r="W2" s="7"/>
    </row>
    <row r="3" ht="15.0" customHeight="1">
      <c r="A3" s="15"/>
      <c r="B3" s="16"/>
      <c r="C3" s="17"/>
      <c r="D3" s="18"/>
      <c r="E3" s="18"/>
      <c r="F3" s="19"/>
      <c r="G3" s="13"/>
      <c r="H3" s="14"/>
      <c r="I3" s="14"/>
      <c r="J3" s="2"/>
      <c r="K3" s="2"/>
      <c r="L3" s="2"/>
      <c r="M3" s="2"/>
      <c r="N3" s="2"/>
      <c r="O3" s="2"/>
      <c r="P3" s="2"/>
      <c r="Q3" s="2"/>
      <c r="R3" s="2"/>
      <c r="S3" s="2"/>
      <c r="T3" s="2"/>
      <c r="U3" s="2"/>
      <c r="V3" s="2"/>
      <c r="W3" s="7"/>
    </row>
    <row r="4" ht="15.0" customHeight="1">
      <c r="A4" s="20"/>
      <c r="B4" s="21"/>
      <c r="C4" s="22" t="str">
        <f>IFERROR(__xludf.DUMMYFUNCTION("""COMPUTED_VALUE"""),"Name")</f>
        <v>Name</v>
      </c>
      <c r="D4" s="23" t="str">
        <f>IFERROR(__xludf.DUMMYFUNCTION("""COMPUTED_VALUE"""),"Era")</f>
        <v>Era</v>
      </c>
      <c r="E4" s="23" t="str">
        <f>IFERROR(__xludf.DUMMYFUNCTION("""COMPUTED_VALUE"""),"Dates")</f>
        <v>Dates</v>
      </c>
      <c r="F4" s="23" t="str">
        <f>IFERROR(__xludf.DUMMYFUNCTION("""COMPUTED_VALUE"""),"Description")</f>
        <v>Description</v>
      </c>
      <c r="G4" s="24"/>
      <c r="H4" s="20"/>
      <c r="I4" s="20"/>
      <c r="J4" s="20"/>
      <c r="K4" s="20"/>
      <c r="L4" s="20"/>
      <c r="M4" s="20"/>
      <c r="N4" s="20"/>
      <c r="O4" s="20"/>
      <c r="P4" s="20"/>
      <c r="Q4" s="20"/>
      <c r="R4" s="20"/>
      <c r="S4" s="20"/>
      <c r="T4" s="20"/>
      <c r="U4" s="20"/>
      <c r="V4" s="20"/>
      <c r="W4" s="25"/>
    </row>
    <row r="5" ht="15.0" customHeight="1">
      <c r="A5" s="20"/>
      <c r="B5" s="20"/>
      <c r="C5" s="26" t="str">
        <f>IFERROR(__xludf.DUMMYFUNCTION("""COMPUTED_VALUE"""),"List is not comprehensive")</f>
        <v>List is not comprehensive</v>
      </c>
      <c r="D5" s="27" t="str">
        <f>IFERROR(__xludf.DUMMYFUNCTION("""COMPUTED_VALUE"""),"Single Player Era")</f>
        <v>Single Player Era</v>
      </c>
      <c r="E5" s="28">
        <f>IFERROR(__xludf.DUMMYFUNCTION("""COMPUTED_VALUE"""),41340.0)</f>
        <v>41340</v>
      </c>
      <c r="F5" s="29" t="str">
        <f>IFERROR(__xludf.DUMMYFUNCTION("""COMPUTED_VALUE"""),"Game is publicly released, Wheels added, New Map (Hellion Crater), AI bots added")</f>
        <v>Game is publicly released, Wheels added, New Map (Hellion Crater), AI bots added</v>
      </c>
      <c r="G5" s="20"/>
      <c r="H5" s="20"/>
      <c r="I5" s="20"/>
      <c r="J5" s="20"/>
      <c r="K5" s="20"/>
      <c r="L5" s="20"/>
      <c r="M5" s="20"/>
      <c r="N5" s="20"/>
      <c r="O5" s="20"/>
      <c r="P5" s="20"/>
      <c r="Q5" s="20"/>
      <c r="R5" s="20"/>
      <c r="S5" s="20"/>
      <c r="T5" s="20"/>
      <c r="U5" s="20"/>
      <c r="V5" s="20"/>
      <c r="W5" s="25"/>
    </row>
    <row r="6" ht="15.0" customHeight="1">
      <c r="A6" s="20"/>
      <c r="B6" s="20"/>
      <c r="C6" s="30"/>
      <c r="D6" s="31" t="str">
        <f>IFERROR(__xludf.DUMMYFUNCTION("""COMPUTED_VALUE"""),"130 Days")</f>
        <v>130 Days</v>
      </c>
      <c r="E6" s="32">
        <f>IFERROR(__xludf.DUMMYFUNCTION("""COMPUTED_VALUE"""),41411.0)</f>
        <v>41411</v>
      </c>
      <c r="F6" s="33" t="str">
        <f>IFERROR(__xludf.DUMMYFUNCTION("""COMPUTED_VALUE"""),"Lasers added")</f>
        <v>Lasers added</v>
      </c>
      <c r="G6" s="20"/>
      <c r="H6" s="20"/>
      <c r="I6" s="20"/>
      <c r="J6" s="20"/>
      <c r="K6" s="20"/>
      <c r="L6" s="20"/>
      <c r="M6" s="20"/>
      <c r="N6" s="20"/>
      <c r="O6" s="20"/>
      <c r="P6" s="20"/>
      <c r="Q6" s="20"/>
      <c r="R6" s="20"/>
      <c r="S6" s="20"/>
      <c r="T6" s="20"/>
      <c r="U6" s="20"/>
      <c r="V6" s="20"/>
      <c r="W6" s="25"/>
    </row>
    <row r="7" ht="15.0" customHeight="1">
      <c r="A7" s="20"/>
      <c r="B7" s="20"/>
      <c r="C7" s="34" t="str">
        <f>IFERROR(__xludf.DUMMYFUNCTION("""COMPUTED_VALUE"""),"Why Eras?")</f>
        <v>Why Eras?</v>
      </c>
      <c r="D7" s="31" t="str">
        <f>IFERROR(__xludf.DUMMYFUNCTION("""COMPUTED_VALUE"""),"Average 18.6")</f>
        <v>Average 18.6</v>
      </c>
      <c r="E7" s="32">
        <f>IFERROR(__xludf.DUMMYFUNCTION("""COMPUTED_VALUE"""),41424.0)</f>
        <v>41424</v>
      </c>
      <c r="F7" s="33" t="str">
        <f>IFERROR(__xludf.DUMMYFUNCTION("""COMPUTED_VALUE"""),"Thrusters and Helium Cube added")</f>
        <v>Thrusters and Helium Cube added</v>
      </c>
      <c r="G7" s="20"/>
      <c r="H7" s="20"/>
      <c r="I7" s="20"/>
      <c r="J7" s="20"/>
      <c r="K7" s="20"/>
      <c r="L7" s="20"/>
      <c r="M7" s="20"/>
      <c r="N7" s="20"/>
      <c r="O7" s="20"/>
      <c r="P7" s="20"/>
      <c r="Q7" s="20"/>
      <c r="R7" s="20"/>
      <c r="S7" s="20"/>
      <c r="T7" s="20"/>
      <c r="U7" s="20"/>
      <c r="V7" s="20"/>
      <c r="W7" s="25"/>
    </row>
    <row r="8" ht="15.0" customHeight="1">
      <c r="A8" s="20"/>
      <c r="B8" s="20"/>
      <c r="C8" s="35" t="str">
        <f>IFERROR(__xludf.DUMMYFUNCTION("""COMPUTED_VALUE"""),"Each Era has its unique vibe and style that sets it apart from others. Players often gather and identify themselves with particular Eras, claiming it to be the ultimate version of RC.")</f>
        <v>Each Era has its unique vibe and style that sets it apart from others. Players often gather and identify themselves with particular Eras, claiming it to be the ultimate version of RC.</v>
      </c>
      <c r="D8" s="5"/>
      <c r="E8" s="32">
        <f>IFERROR(__xludf.DUMMYFUNCTION("""COMPUTED_VALUE"""),41432.0)</f>
        <v>41432</v>
      </c>
      <c r="F8" s="33" t="str">
        <f>IFERROR(__xludf.DUMMYFUNCTION("""COMPUTED_VALUE"""),"Day/Night cycle trialed")</f>
        <v>Day/Night cycle trialed</v>
      </c>
      <c r="G8" s="20"/>
      <c r="H8" s="20"/>
      <c r="I8" s="20"/>
      <c r="J8" s="20"/>
      <c r="K8" s="20"/>
      <c r="L8" s="20"/>
      <c r="M8" s="20"/>
      <c r="N8" s="20"/>
      <c r="O8" s="20"/>
      <c r="P8" s="20"/>
      <c r="Q8" s="20"/>
      <c r="R8" s="20"/>
      <c r="S8" s="20"/>
      <c r="T8" s="20"/>
      <c r="U8" s="20"/>
      <c r="V8" s="20"/>
      <c r="W8" s="25"/>
    </row>
    <row r="9" ht="15.0" customHeight="1">
      <c r="A9" s="20"/>
      <c r="B9" s="20"/>
      <c r="C9" s="36"/>
      <c r="D9" s="37"/>
      <c r="E9" s="32">
        <f>IFERROR(__xludf.DUMMYFUNCTION("""COMPUTED_VALUE"""),41439.0)</f>
        <v>41439</v>
      </c>
      <c r="F9" s="33" t="str">
        <f>IFERROR(__xludf.DUMMYFUNCTION("""COMPUTED_VALUE"""),"AI can now shoot back")</f>
        <v>AI can now shoot back</v>
      </c>
      <c r="G9" s="20"/>
      <c r="H9" s="20"/>
      <c r="I9" s="20"/>
      <c r="J9" s="20"/>
      <c r="K9" s="20"/>
      <c r="L9" s="20"/>
      <c r="M9" s="20"/>
      <c r="N9" s="20"/>
      <c r="O9" s="20"/>
      <c r="P9" s="20"/>
      <c r="Q9" s="20"/>
      <c r="R9" s="20"/>
      <c r="S9" s="20"/>
      <c r="T9" s="20"/>
      <c r="U9" s="20"/>
      <c r="V9" s="20"/>
      <c r="W9" s="25"/>
    </row>
    <row r="10" ht="15.0" customHeight="1">
      <c r="A10" s="20"/>
      <c r="B10" s="20"/>
      <c r="C10" s="36"/>
      <c r="D10" s="37"/>
      <c r="E10" s="32">
        <f>IFERROR(__xludf.DUMMYFUNCTION("""COMPUTED_VALUE"""),41446.0)</f>
        <v>41446</v>
      </c>
      <c r="F10" s="33" t="str">
        <f>IFERROR(__xludf.DUMMYFUNCTION("""COMPUTED_VALUE"""),"Radars and RP collectors added, AI now drop RP to collect")</f>
        <v>Radars and RP collectors added, AI now drop RP to collect</v>
      </c>
      <c r="G10" s="20"/>
      <c r="H10" s="20"/>
      <c r="I10" s="20"/>
      <c r="J10" s="20"/>
      <c r="K10" s="20"/>
      <c r="L10" s="20"/>
      <c r="M10" s="20"/>
      <c r="N10" s="20"/>
      <c r="O10" s="20"/>
      <c r="P10" s="20"/>
      <c r="Q10" s="20"/>
      <c r="R10" s="20"/>
      <c r="S10" s="20"/>
      <c r="T10" s="20"/>
      <c r="U10" s="20"/>
      <c r="V10" s="20"/>
      <c r="W10" s="25"/>
    </row>
    <row r="11" ht="15.0" customHeight="1">
      <c r="A11" s="20"/>
      <c r="B11" s="20"/>
      <c r="C11" s="38"/>
      <c r="D11" s="39"/>
      <c r="E11" s="40">
        <f>IFERROR(__xludf.DUMMYFUNCTION("""COMPUTED_VALUE"""),41452.0)</f>
        <v>41452</v>
      </c>
      <c r="F11" s="33" t="str">
        <f>IFERROR(__xludf.DUMMYFUNCTION("""COMPUTED_VALUE"""),"Tech Tree added")</f>
        <v>Tech Tree added</v>
      </c>
      <c r="G11" s="20"/>
      <c r="H11" s="20"/>
      <c r="I11" s="20"/>
      <c r="J11" s="20"/>
      <c r="K11" s="20"/>
      <c r="L11" s="20"/>
      <c r="M11" s="20"/>
      <c r="N11" s="20"/>
      <c r="O11" s="20"/>
      <c r="P11" s="20"/>
      <c r="Q11" s="20"/>
      <c r="R11" s="20"/>
      <c r="S11" s="20"/>
      <c r="T11" s="20"/>
      <c r="U11" s="20"/>
      <c r="V11" s="20"/>
      <c r="W11" s="25"/>
    </row>
    <row r="12" ht="15.0" customHeight="1">
      <c r="A12" s="20"/>
      <c r="B12" s="21"/>
      <c r="C12" s="41" t="str">
        <f>IFERROR(__xludf.DUMMYFUNCTION("""COMPUTED_VALUE"""),"Robocraft Alpha")</f>
        <v>Robocraft Alpha</v>
      </c>
      <c r="D12" s="42" t="str">
        <f>IFERROR(__xludf.DUMMYFUNCTION("""COMPUTED_VALUE"""),"Alpha Era")</f>
        <v>Alpha Era</v>
      </c>
      <c r="E12" s="43">
        <f>IFERROR(__xludf.DUMMYFUNCTION("""COMPUTED_VALUE"""),41470.0)</f>
        <v>41470</v>
      </c>
      <c r="F12" s="33" t="str">
        <f>IFERROR(__xludf.DUMMYFUNCTION("""COMPUTED_VALUE"""),"Multiplayer released, RP collectors removed. AI no longer drop RP")</f>
        <v>Multiplayer released, RP collectors removed. AI no longer drop RP</v>
      </c>
      <c r="G12" s="20"/>
      <c r="H12" s="20"/>
      <c r="I12" s="20"/>
      <c r="J12" s="20"/>
      <c r="K12" s="20"/>
      <c r="L12" s="20"/>
      <c r="M12" s="20"/>
      <c r="N12" s="20"/>
      <c r="O12" s="20"/>
      <c r="P12" s="20"/>
      <c r="Q12" s="20"/>
      <c r="R12" s="20"/>
      <c r="S12" s="20"/>
      <c r="T12" s="20"/>
      <c r="U12" s="20"/>
      <c r="V12" s="20"/>
      <c r="W12" s="25"/>
    </row>
    <row r="13" ht="15.0" customHeight="1">
      <c r="A13" s="20"/>
      <c r="B13" s="20"/>
      <c r="C13" s="44"/>
      <c r="D13" s="45" t="str">
        <f>IFERROR(__xludf.DUMMYFUNCTION("""COMPUTED_VALUE"""),"655 Days")</f>
        <v>655 Days</v>
      </c>
      <c r="E13" s="43">
        <f>IFERROR(__xludf.DUMMYFUNCTION("""COMPUTED_VALUE"""),41554.0)</f>
        <v>41554</v>
      </c>
      <c r="F13" s="33" t="str">
        <f>IFERROR(__xludf.DUMMYFUNCTION("""COMPUTED_VALUE"""),"Hovers added and New Map (Tihonium Canyon)")</f>
        <v>Hovers added and New Map (Tihonium Canyon)</v>
      </c>
      <c r="G13" s="20"/>
      <c r="H13" s="20"/>
      <c r="I13" s="20"/>
      <c r="J13" s="20"/>
      <c r="K13" s="20"/>
      <c r="L13" s="20"/>
      <c r="M13" s="20"/>
      <c r="N13" s="20"/>
      <c r="O13" s="20"/>
      <c r="P13" s="20"/>
      <c r="Q13" s="20"/>
      <c r="R13" s="20"/>
      <c r="S13" s="20"/>
      <c r="T13" s="20"/>
      <c r="U13" s="20"/>
      <c r="V13" s="20"/>
      <c r="W13" s="25"/>
    </row>
    <row r="14" ht="15.0" customHeight="1">
      <c r="A14" s="20"/>
      <c r="B14" s="20"/>
      <c r="C14" s="46"/>
      <c r="D14" s="45" t="str">
        <f>IFERROR(__xludf.DUMMYFUNCTION("""COMPUTED_VALUE"""),"Average 16.7")</f>
        <v>Average 16.7</v>
      </c>
      <c r="E14" s="47">
        <f>IFERROR(__xludf.DUMMYFUNCTION("""COMPUTED_VALUE"""),41593.0)</f>
        <v>41593</v>
      </c>
      <c r="F14" s="33" t="str">
        <f>IFERROR(__xludf.DUMMYFUNCTION("""COMPUTED_VALUE"""),"Part selling implemented")</f>
        <v>Part selling implemented</v>
      </c>
      <c r="G14" s="20"/>
      <c r="H14" s="20"/>
      <c r="I14" s="20"/>
      <c r="J14" s="20"/>
      <c r="K14" s="20"/>
      <c r="L14" s="20"/>
      <c r="M14" s="20"/>
      <c r="N14" s="20"/>
      <c r="O14" s="20"/>
      <c r="P14" s="20"/>
      <c r="Q14" s="20"/>
      <c r="R14" s="20"/>
      <c r="S14" s="20"/>
      <c r="T14" s="20"/>
      <c r="U14" s="20"/>
      <c r="V14" s="20"/>
      <c r="W14" s="25"/>
    </row>
    <row r="15" ht="15.0" customHeight="1">
      <c r="A15" s="20"/>
      <c r="B15" s="20"/>
      <c r="C15" s="46"/>
      <c r="D15" s="48"/>
      <c r="E15" s="47">
        <f>IFERROR(__xludf.DUMMYFUNCTION("""COMPUTED_VALUE"""),41606.0)</f>
        <v>41606</v>
      </c>
      <c r="F15" s="33" t="str">
        <f>IFERROR(__xludf.DUMMYFUNCTION("""COMPUTED_VALUE"""),"Premium bonus made available")</f>
        <v>Premium bonus made available</v>
      </c>
      <c r="G15" s="20"/>
      <c r="H15" s="20"/>
      <c r="I15" s="20"/>
      <c r="J15" s="20"/>
      <c r="K15" s="20"/>
      <c r="L15" s="20"/>
      <c r="M15" s="20"/>
      <c r="N15" s="20"/>
      <c r="O15" s="20"/>
      <c r="P15" s="20"/>
      <c r="Q15" s="20"/>
      <c r="R15" s="20"/>
      <c r="S15" s="20"/>
      <c r="T15" s="20"/>
      <c r="U15" s="20"/>
      <c r="V15" s="20"/>
      <c r="W15" s="25"/>
    </row>
    <row r="16" ht="15.0" customHeight="1">
      <c r="A16" s="20"/>
      <c r="B16" s="20"/>
      <c r="C16" s="46"/>
      <c r="D16" s="48"/>
      <c r="E16" s="47">
        <f>IFERROR(__xludf.DUMMYFUNCTION("""COMPUTED_VALUE"""),41627.0)</f>
        <v>41627</v>
      </c>
      <c r="F16" s="33" t="str">
        <f>IFERROR(__xludf.DUMMYFUNCTION("""COMPUTED_VALUE"""),"Tiered armor cubes added")</f>
        <v>Tiered armor cubes added</v>
      </c>
      <c r="G16" s="20"/>
      <c r="H16" s="20"/>
      <c r="I16" s="20"/>
      <c r="J16" s="20"/>
      <c r="K16" s="20"/>
      <c r="L16" s="20"/>
      <c r="M16" s="20"/>
      <c r="N16" s="20"/>
      <c r="O16" s="20"/>
      <c r="P16" s="20"/>
      <c r="Q16" s="20"/>
      <c r="R16" s="20"/>
      <c r="S16" s="20"/>
      <c r="T16" s="20"/>
      <c r="U16" s="20"/>
      <c r="V16" s="20"/>
      <c r="W16" s="25"/>
    </row>
    <row r="17" ht="15.0" customHeight="1">
      <c r="A17" s="20"/>
      <c r="B17" s="20"/>
      <c r="C17" s="49"/>
      <c r="D17" s="48"/>
      <c r="E17" s="43">
        <f>IFERROR(__xludf.DUMMYFUNCTION("""COMPUTED_VALUE"""),41656.0)</f>
        <v>41656</v>
      </c>
      <c r="F17" s="33" t="str">
        <f>IFERROR(__xludf.DUMMYFUNCTION("""COMPUTED_VALUE"""),"Original Boss Battles mode added")</f>
        <v>Original Boss Battles mode added</v>
      </c>
      <c r="G17" s="20"/>
      <c r="H17" s="20"/>
      <c r="I17" s="20"/>
      <c r="J17" s="20"/>
      <c r="K17" s="20"/>
      <c r="L17" s="20"/>
      <c r="M17" s="20"/>
      <c r="N17" s="20"/>
      <c r="O17" s="20"/>
      <c r="P17" s="20"/>
      <c r="Q17" s="20"/>
      <c r="R17" s="20"/>
      <c r="S17" s="20"/>
      <c r="T17" s="20"/>
      <c r="U17" s="20"/>
      <c r="V17" s="20"/>
      <c r="W17" s="25"/>
    </row>
    <row r="18" ht="15.0" customHeight="1">
      <c r="A18" s="20"/>
      <c r="B18" s="20"/>
      <c r="C18" s="49"/>
      <c r="D18" s="48"/>
      <c r="E18" s="43">
        <f>IFERROR(__xludf.DUMMYFUNCTION("""COMPUTED_VALUE"""),41670.0)</f>
        <v>41670</v>
      </c>
      <c r="F18" s="33" t="str">
        <f>IFERROR(__xludf.DUMMYFUNCTION("""COMPUTED_VALUE"""),"New Map (Gliese Lake)")</f>
        <v>New Map (Gliese Lake)</v>
      </c>
      <c r="G18" s="20"/>
      <c r="H18" s="20"/>
      <c r="I18" s="20"/>
      <c r="J18" s="20"/>
      <c r="K18" s="20"/>
      <c r="L18" s="20"/>
      <c r="M18" s="20"/>
      <c r="N18" s="20"/>
      <c r="O18" s="20"/>
      <c r="P18" s="20"/>
      <c r="Q18" s="20"/>
      <c r="R18" s="20"/>
      <c r="S18" s="20"/>
      <c r="T18" s="20"/>
      <c r="U18" s="20"/>
      <c r="V18" s="20"/>
      <c r="W18" s="25"/>
    </row>
    <row r="19" ht="15.0" customHeight="1">
      <c r="A19" s="20"/>
      <c r="B19" s="20"/>
      <c r="C19" s="49"/>
      <c r="D19" s="48"/>
      <c r="E19" s="43">
        <f>IFERROR(__xludf.DUMMYFUNCTION("""COMPUTED_VALUE"""),41687.0)</f>
        <v>41687</v>
      </c>
      <c r="F19" s="33" t="str">
        <f>IFERROR(__xludf.DUMMYFUNCTION("""COMPUTED_VALUE"""),"Platoons added")</f>
        <v>Platoons added</v>
      </c>
      <c r="G19" s="20"/>
      <c r="H19" s="20"/>
      <c r="I19" s="20"/>
      <c r="J19" s="20"/>
      <c r="K19" s="20"/>
      <c r="L19" s="20"/>
      <c r="M19" s="20"/>
      <c r="N19" s="20"/>
      <c r="O19" s="20"/>
      <c r="P19" s="20"/>
      <c r="Q19" s="20"/>
      <c r="R19" s="20"/>
      <c r="S19" s="20"/>
      <c r="T19" s="20"/>
      <c r="U19" s="20"/>
      <c r="V19" s="20"/>
      <c r="W19" s="25"/>
    </row>
    <row r="20" ht="15.0" customHeight="1">
      <c r="A20" s="20"/>
      <c r="B20" s="20"/>
      <c r="C20" s="50" t="str">
        <f>IFERROR(__xludf.DUMMYFUNCTION("""COMPUTED_VALUE"""),"Deego starts playing ;)")</f>
        <v>Deego starts playing ;)</v>
      </c>
      <c r="D20" s="48"/>
      <c r="E20" s="43">
        <f>IFERROR(__xludf.DUMMYFUNCTION("""COMPUTED_VALUE"""),41709.0)</f>
        <v>41709</v>
      </c>
      <c r="F20" s="33" t="str">
        <f>IFERROR(__xludf.DUMMYFUNCTION("""COMPUTED_VALUE"""),"Plasma added")</f>
        <v>Plasma added</v>
      </c>
      <c r="G20" s="20"/>
      <c r="H20" s="20"/>
      <c r="I20" s="20"/>
      <c r="J20" s="20"/>
      <c r="K20" s="20"/>
      <c r="L20" s="20"/>
      <c r="M20" s="20"/>
      <c r="N20" s="20"/>
      <c r="O20" s="20"/>
      <c r="P20" s="20"/>
      <c r="Q20" s="20"/>
      <c r="R20" s="20"/>
      <c r="S20" s="20"/>
      <c r="T20" s="20"/>
      <c r="U20" s="20"/>
      <c r="V20" s="20"/>
      <c r="W20" s="25"/>
    </row>
    <row r="21" ht="15.0" customHeight="1">
      <c r="A21" s="20"/>
      <c r="B21" s="20"/>
      <c r="C21" s="49"/>
      <c r="D21" s="48"/>
      <c r="E21" s="43">
        <f>IFERROR(__xludf.DUMMYFUNCTION("""COMPUTED_VALUE"""),41724.0)</f>
        <v>41724</v>
      </c>
      <c r="F21" s="33" t="str">
        <f>IFERROR(__xludf.DUMMYFUNCTION("""COMPUTED_VALUE"""),"Scoping and Friends list added")</f>
        <v>Scoping and Friends list added</v>
      </c>
      <c r="G21" s="20"/>
      <c r="H21" s="20"/>
      <c r="I21" s="20"/>
      <c r="J21" s="20"/>
      <c r="K21" s="20"/>
      <c r="L21" s="20"/>
      <c r="M21" s="20"/>
      <c r="N21" s="20"/>
      <c r="O21" s="20"/>
      <c r="P21" s="20"/>
      <c r="Q21" s="20"/>
      <c r="R21" s="20"/>
      <c r="S21" s="20"/>
      <c r="T21" s="20"/>
      <c r="U21" s="20"/>
      <c r="V21" s="20"/>
      <c r="W21" s="25"/>
    </row>
    <row r="22" ht="15.0" customHeight="1">
      <c r="A22" s="20"/>
      <c r="B22" s="20"/>
      <c r="C22" s="49"/>
      <c r="D22" s="48"/>
      <c r="E22" s="43">
        <f>IFERROR(__xludf.DUMMYFUNCTION("""COMPUTED_VALUE"""),41762.0)</f>
        <v>41762</v>
      </c>
      <c r="F22" s="33" t="str">
        <f>IFERROR(__xludf.DUMMYFUNCTION("""COMPUTED_VALUE"""),"Jammers and Recievers added")</f>
        <v>Jammers and Recievers added</v>
      </c>
      <c r="G22" s="20"/>
      <c r="H22" s="20"/>
      <c r="I22" s="20"/>
      <c r="J22" s="20"/>
      <c r="K22" s="20"/>
      <c r="L22" s="20"/>
      <c r="M22" s="20"/>
      <c r="N22" s="20"/>
      <c r="O22" s="20"/>
      <c r="P22" s="20"/>
      <c r="Q22" s="20"/>
      <c r="R22" s="20"/>
      <c r="S22" s="20"/>
      <c r="T22" s="20"/>
      <c r="U22" s="20"/>
      <c r="V22" s="20"/>
      <c r="W22" s="25"/>
    </row>
    <row r="23" ht="15.0" customHeight="1">
      <c r="A23" s="20"/>
      <c r="B23" s="20"/>
      <c r="C23" s="49"/>
      <c r="D23" s="48"/>
      <c r="E23" s="43">
        <f>IFERROR(__xludf.DUMMYFUNCTION("""COMPUTED_VALUE"""),41767.0)</f>
        <v>41767</v>
      </c>
      <c r="F23" s="33" t="str">
        <f>IFERROR(__xludf.DUMMYFUNCTION("""COMPUTED_VALUE"""),"Rail added")</f>
        <v>Rail added</v>
      </c>
      <c r="G23" s="20"/>
      <c r="H23" s="20"/>
      <c r="I23" s="20"/>
      <c r="J23" s="20"/>
      <c r="K23" s="20"/>
      <c r="L23" s="20"/>
      <c r="M23" s="20"/>
      <c r="N23" s="20"/>
      <c r="O23" s="20"/>
      <c r="P23" s="20"/>
      <c r="Q23" s="20"/>
      <c r="R23" s="20"/>
      <c r="S23" s="20"/>
      <c r="T23" s="20"/>
      <c r="U23" s="20"/>
      <c r="V23" s="20"/>
      <c r="W23" s="25"/>
    </row>
    <row r="24" ht="15.0" customHeight="1">
      <c r="A24" s="20"/>
      <c r="B24" s="20"/>
      <c r="C24" s="49"/>
      <c r="D24" s="48"/>
      <c r="E24" s="43">
        <f>IFERROR(__xludf.DUMMYFUNCTION("""COMPUTED_VALUE"""),41781.0)</f>
        <v>41781</v>
      </c>
      <c r="F24" s="33" t="str">
        <f>IFERROR(__xludf.DUMMYFUNCTION("""COMPUTED_VALUE"""),"Hexagon Tech Tree")</f>
        <v>Hexagon Tech Tree</v>
      </c>
      <c r="G24" s="20"/>
      <c r="H24" s="20"/>
      <c r="I24" s="20"/>
      <c r="J24" s="20"/>
      <c r="K24" s="20"/>
      <c r="L24" s="20"/>
      <c r="M24" s="20"/>
      <c r="N24" s="20"/>
      <c r="O24" s="20"/>
      <c r="P24" s="20"/>
      <c r="Q24" s="20"/>
      <c r="R24" s="20"/>
      <c r="S24" s="20"/>
      <c r="T24" s="20"/>
      <c r="U24" s="20"/>
      <c r="V24" s="20"/>
      <c r="W24" s="25"/>
    </row>
    <row r="25" ht="15.0" customHeight="1">
      <c r="A25" s="20"/>
      <c r="B25" s="20"/>
      <c r="C25" s="49"/>
      <c r="D25" s="48"/>
      <c r="E25" s="43">
        <f>IFERROR(__xludf.DUMMYFUNCTION("""COMPUTED_VALUE"""),41795.0)</f>
        <v>41795</v>
      </c>
      <c r="F25" s="33" t="str">
        <f>IFERROR(__xludf.DUMMYFUNCTION("""COMPUTED_VALUE"""),"Wings added")</f>
        <v>Wings added</v>
      </c>
      <c r="G25" s="20"/>
      <c r="H25" s="20"/>
      <c r="I25" s="20"/>
      <c r="J25" s="20"/>
      <c r="K25" s="20"/>
      <c r="L25" s="20"/>
      <c r="M25" s="20"/>
      <c r="N25" s="20"/>
      <c r="O25" s="20"/>
      <c r="P25" s="20"/>
      <c r="Q25" s="20"/>
      <c r="R25" s="20"/>
      <c r="S25" s="20"/>
      <c r="T25" s="20"/>
      <c r="U25" s="20"/>
      <c r="V25" s="20"/>
      <c r="W25" s="25"/>
    </row>
    <row r="26" ht="15.0" customHeight="1">
      <c r="A26" s="20"/>
      <c r="B26" s="20"/>
      <c r="C26" s="51"/>
      <c r="D26" s="48"/>
      <c r="E26" s="43">
        <f>IFERROR(__xludf.DUMMYFUNCTION("""COMPUTED_VALUE"""),41817.0)</f>
        <v>41817</v>
      </c>
      <c r="F26" s="33" t="str">
        <f>IFERROR(__xludf.DUMMYFUNCTION("""COMPUTED_VALUE"""),"New Map (Ophiuchus Valley)")</f>
        <v>New Map (Ophiuchus Valley)</v>
      </c>
      <c r="G26" s="20"/>
      <c r="H26" s="20"/>
      <c r="I26" s="20"/>
      <c r="J26" s="20"/>
      <c r="K26" s="20"/>
      <c r="L26" s="20"/>
      <c r="M26" s="20"/>
      <c r="N26" s="20"/>
      <c r="O26" s="20"/>
      <c r="P26" s="20"/>
      <c r="Q26" s="20"/>
      <c r="R26" s="20"/>
      <c r="S26" s="20"/>
      <c r="T26" s="20"/>
      <c r="U26" s="20"/>
      <c r="V26" s="20"/>
      <c r="W26" s="25"/>
    </row>
    <row r="27" ht="15.0" customHeight="1">
      <c r="A27" s="20"/>
      <c r="B27" s="21"/>
      <c r="C27" s="41" t="str">
        <f>IFERROR(__xludf.DUMMYFUNCTION("""COMPUTED_VALUE"""),"Steam Update")</f>
        <v>Steam Update</v>
      </c>
      <c r="D27" s="52"/>
      <c r="E27" s="43">
        <f>IFERROR(__xludf.DUMMYFUNCTION("""COMPUTED_VALUE"""),41828.0)</f>
        <v>41828</v>
      </c>
      <c r="F27" s="33" t="str">
        <f>IFERROR(__xludf.DUMMYFUNCTION("""COMPUTED_VALUE"""),"Made available on Steam")</f>
        <v>Made available on Steam</v>
      </c>
      <c r="G27" s="20"/>
      <c r="H27" s="20"/>
      <c r="I27" s="20"/>
      <c r="J27" s="20"/>
      <c r="K27" s="20"/>
      <c r="L27" s="20"/>
      <c r="M27" s="20"/>
      <c r="N27" s="20"/>
      <c r="O27" s="20"/>
      <c r="P27" s="20"/>
      <c r="Q27" s="20"/>
      <c r="R27" s="20"/>
      <c r="S27" s="20"/>
      <c r="T27" s="20"/>
      <c r="U27" s="20"/>
      <c r="V27" s="20"/>
      <c r="W27" s="25"/>
    </row>
    <row r="28" ht="15.0" customHeight="1">
      <c r="A28" s="20"/>
      <c r="B28" s="20"/>
      <c r="C28" s="44"/>
      <c r="D28" s="48"/>
      <c r="E28" s="43">
        <f>IFERROR(__xludf.DUMMYFUNCTION("""COMPUTED_VALUE"""),41843.0)</f>
        <v>41843</v>
      </c>
      <c r="F28" s="33" t="str">
        <f>IFERROR(__xludf.DUMMYFUNCTION("""COMPUTED_VALUE"""),"Electroplates added")</f>
        <v>Electroplates added</v>
      </c>
      <c r="G28" s="20"/>
      <c r="H28" s="20"/>
      <c r="I28" s="20"/>
      <c r="J28" s="20"/>
      <c r="K28" s="20"/>
      <c r="L28" s="20"/>
      <c r="M28" s="20"/>
      <c r="N28" s="20"/>
      <c r="O28" s="20"/>
      <c r="P28" s="20"/>
      <c r="Q28" s="20"/>
      <c r="R28" s="20"/>
      <c r="S28" s="20"/>
      <c r="T28" s="20"/>
      <c r="U28" s="20"/>
      <c r="V28" s="20"/>
      <c r="W28" s="25"/>
    </row>
    <row r="29" ht="15.0" customHeight="1">
      <c r="A29" s="20"/>
      <c r="B29" s="20"/>
      <c r="C29" s="49"/>
      <c r="D29" s="48"/>
      <c r="E29" s="43">
        <f>IFERROR(__xludf.DUMMYFUNCTION("""COMPUTED_VALUE"""),41851.0)</f>
        <v>41851</v>
      </c>
      <c r="F29" s="33" t="str">
        <f>IFERROR(__xludf.DUMMYFUNCTION("""COMPUTED_VALUE"""),"Alignment Rectifier, Rudders and New Map (Tharsis Rift)")</f>
        <v>Alignment Rectifier, Rudders and New Map (Tharsis Rift)</v>
      </c>
      <c r="G29" s="20"/>
      <c r="H29" s="20"/>
      <c r="I29" s="20"/>
      <c r="J29" s="20"/>
      <c r="K29" s="20"/>
      <c r="L29" s="20"/>
      <c r="M29" s="20"/>
      <c r="N29" s="20"/>
      <c r="O29" s="20"/>
      <c r="P29" s="20"/>
      <c r="Q29" s="20"/>
      <c r="R29" s="20"/>
      <c r="S29" s="20"/>
      <c r="T29" s="20"/>
      <c r="U29" s="20"/>
      <c r="V29" s="20"/>
      <c r="W29" s="25"/>
    </row>
    <row r="30" ht="15.0" customHeight="1">
      <c r="A30" s="20"/>
      <c r="B30" s="20"/>
      <c r="C30" s="49"/>
      <c r="D30" s="48"/>
      <c r="E30" s="43">
        <f>IFERROR(__xludf.DUMMYFUNCTION("""COMPUTED_VALUE"""),41862.0)</f>
        <v>41862</v>
      </c>
      <c r="F30" s="33" t="str">
        <f>IFERROR(__xludf.DUMMYFUNCTION("""COMPUTED_VALUE"""),"Ranked battles and Leaderboard added")</f>
        <v>Ranked battles and Leaderboard added</v>
      </c>
      <c r="G30" s="20"/>
      <c r="H30" s="20"/>
      <c r="I30" s="20"/>
      <c r="J30" s="20"/>
      <c r="K30" s="20"/>
      <c r="L30" s="20"/>
      <c r="M30" s="20"/>
      <c r="N30" s="20"/>
      <c r="O30" s="20"/>
      <c r="P30" s="20"/>
      <c r="Q30" s="20"/>
      <c r="R30" s="20"/>
      <c r="S30" s="20"/>
      <c r="T30" s="20"/>
      <c r="U30" s="20"/>
      <c r="V30" s="20"/>
      <c r="W30" s="25"/>
    </row>
    <row r="31" ht="15.0" customHeight="1">
      <c r="A31" s="20"/>
      <c r="B31" s="20"/>
      <c r="C31" s="49"/>
      <c r="D31" s="48"/>
      <c r="E31" s="43">
        <f>IFERROR(__xludf.DUMMYFUNCTION("""COMPUTED_VALUE"""),41865.0)</f>
        <v>41865</v>
      </c>
      <c r="F31" s="33" t="str">
        <f>IFERROR(__xludf.DUMMYFUNCTION("""COMPUTED_VALUE"""),"Q Spotting added")</f>
        <v>Q Spotting added</v>
      </c>
      <c r="G31" s="20"/>
      <c r="H31" s="20"/>
      <c r="I31" s="20"/>
      <c r="J31" s="20"/>
      <c r="K31" s="20"/>
      <c r="L31" s="20"/>
      <c r="M31" s="20"/>
      <c r="N31" s="20"/>
      <c r="O31" s="20"/>
      <c r="P31" s="20"/>
      <c r="Q31" s="20"/>
      <c r="R31" s="20"/>
      <c r="S31" s="20"/>
      <c r="T31" s="20"/>
      <c r="U31" s="20"/>
      <c r="V31" s="20"/>
      <c r="W31" s="25"/>
    </row>
    <row r="32" ht="15.0" customHeight="1">
      <c r="A32" s="20"/>
      <c r="B32" s="20"/>
      <c r="C32" s="51"/>
      <c r="D32" s="53"/>
      <c r="E32" s="43">
        <f>IFERROR(__xludf.DUMMYFUNCTION("""COMPUTED_VALUE"""),41886.0)</f>
        <v>41886</v>
      </c>
      <c r="F32" s="33" t="str">
        <f>IFERROR(__xludf.DUMMYFUNCTION("""COMPUTED_VALUE"""),"Mac and Linux support added, Robot classification system implemeted")</f>
        <v>Mac and Linux support added, Robot classification system implemeted</v>
      </c>
      <c r="G32" s="20"/>
      <c r="H32" s="20"/>
      <c r="I32" s="20"/>
      <c r="J32" s="20"/>
      <c r="K32" s="20"/>
      <c r="L32" s="20"/>
      <c r="M32" s="20"/>
      <c r="N32" s="20"/>
      <c r="O32" s="20"/>
      <c r="P32" s="20"/>
      <c r="Q32" s="20"/>
      <c r="R32" s="20"/>
      <c r="S32" s="20"/>
      <c r="T32" s="20"/>
      <c r="U32" s="20"/>
      <c r="V32" s="20"/>
      <c r="W32" s="25"/>
    </row>
    <row r="33" ht="15.0" customHeight="1">
      <c r="A33" s="20"/>
      <c r="B33" s="21"/>
      <c r="C33" s="54" t="str">
        <f>IFERROR(__xludf.DUMMYFUNCTION("""COMPUTED_VALUE"""),"Rise of the Walkers")</f>
        <v>Rise of the Walkers</v>
      </c>
      <c r="D33" s="52"/>
      <c r="E33" s="43">
        <f>IFERROR(__xludf.DUMMYFUNCTION("""COMPUTED_VALUE"""),41921.0)</f>
        <v>41921</v>
      </c>
      <c r="F33" s="33" t="str">
        <f>IFERROR(__xludf.DUMMYFUNCTION("""COMPUTED_VALUE"""),"Nanos and Insect Legs added, Repair Cost removed, New Boss Battles added")</f>
        <v>Nanos and Insect Legs added, Repair Cost removed, New Boss Battles added</v>
      </c>
      <c r="G33" s="20"/>
      <c r="H33" s="20"/>
      <c r="I33" s="20"/>
      <c r="J33" s="20"/>
      <c r="K33" s="20"/>
      <c r="L33" s="20"/>
      <c r="M33" s="20"/>
      <c r="N33" s="20"/>
      <c r="O33" s="20"/>
      <c r="P33" s="20"/>
      <c r="Q33" s="20"/>
      <c r="R33" s="20"/>
      <c r="S33" s="20"/>
      <c r="T33" s="20"/>
      <c r="U33" s="20"/>
      <c r="V33" s="20"/>
      <c r="W33" s="25"/>
    </row>
    <row r="34" ht="15.0" customHeight="1">
      <c r="A34" s="20"/>
      <c r="B34" s="20"/>
      <c r="C34" s="44"/>
      <c r="D34" s="48"/>
      <c r="E34" s="43">
        <f>IFERROR(__xludf.DUMMYFUNCTION("""COMPUTED_VALUE"""),41929.0)</f>
        <v>41929</v>
      </c>
      <c r="F34" s="33" t="str">
        <f>IFERROR(__xludf.DUMMYFUNCTION("""COMPUTED_VALUE"""),"Nano enemy auto-target removed")</f>
        <v>Nano enemy auto-target removed</v>
      </c>
      <c r="G34" s="20"/>
      <c r="H34" s="20"/>
      <c r="I34" s="20"/>
      <c r="J34" s="20"/>
      <c r="K34" s="20"/>
      <c r="L34" s="20"/>
      <c r="M34" s="20"/>
      <c r="N34" s="20"/>
      <c r="O34" s="20"/>
      <c r="P34" s="20"/>
      <c r="Q34" s="20"/>
      <c r="R34" s="20"/>
      <c r="S34" s="20"/>
      <c r="T34" s="20"/>
      <c r="U34" s="20"/>
      <c r="V34" s="20"/>
      <c r="W34" s="25"/>
    </row>
    <row r="35" ht="15.0" customHeight="1">
      <c r="A35" s="20"/>
      <c r="B35" s="20"/>
      <c r="C35" s="49"/>
      <c r="D35" s="48"/>
      <c r="E35" s="43">
        <f>IFERROR(__xludf.DUMMYFUNCTION("""COMPUTED_VALUE"""),41941.0)</f>
        <v>41941</v>
      </c>
      <c r="F35" s="33" t="str">
        <f>IFERROR(__xludf.DUMMYFUNCTION("""COMPUTED_VALUE"""),"Hallow T10 Cubes and T8 Bat Wings/Rudders added")</f>
        <v>Hallow T10 Cubes and T8 Bat Wings/Rudders added</v>
      </c>
      <c r="G35" s="20"/>
      <c r="H35" s="20"/>
      <c r="I35" s="20"/>
      <c r="J35" s="20"/>
      <c r="K35" s="20"/>
      <c r="L35" s="20"/>
      <c r="M35" s="20"/>
      <c r="N35" s="20"/>
      <c r="O35" s="20"/>
      <c r="P35" s="20"/>
      <c r="Q35" s="20"/>
      <c r="R35" s="20"/>
      <c r="S35" s="20"/>
      <c r="T35" s="20"/>
      <c r="U35" s="20"/>
      <c r="V35" s="20"/>
      <c r="W35" s="25"/>
    </row>
    <row r="36" ht="15.0" customHeight="1">
      <c r="A36" s="20"/>
      <c r="B36" s="20"/>
      <c r="C36" s="49"/>
      <c r="D36" s="48"/>
      <c r="E36" s="43">
        <f>IFERROR(__xludf.DUMMYFUNCTION("""COMPUTED_VALUE"""),41949.0)</f>
        <v>41949</v>
      </c>
      <c r="F36" s="33" t="str">
        <f>IFERROR(__xludf.DUMMYFUNCTION("""COMPUTED_VALUE"""),"EasyAntiCheat (EAC) implemented")</f>
        <v>EasyAntiCheat (EAC) implemented</v>
      </c>
      <c r="G36" s="20"/>
      <c r="H36" s="20"/>
      <c r="I36" s="20"/>
      <c r="J36" s="20"/>
      <c r="K36" s="20"/>
      <c r="L36" s="20"/>
      <c r="M36" s="20"/>
      <c r="N36" s="20"/>
      <c r="O36" s="20"/>
      <c r="P36" s="20"/>
      <c r="Q36" s="20"/>
      <c r="R36" s="20"/>
      <c r="S36" s="20"/>
      <c r="T36" s="20"/>
      <c r="U36" s="20"/>
      <c r="V36" s="20"/>
      <c r="W36" s="25"/>
    </row>
    <row r="37" ht="15.0" customHeight="1">
      <c r="A37" s="20"/>
      <c r="B37" s="20"/>
      <c r="C37" s="51"/>
      <c r="D37" s="48"/>
      <c r="E37" s="43">
        <f>IFERROR(__xludf.DUMMYFUNCTION("""COMPUTED_VALUE"""),41963.0)</f>
        <v>41963</v>
      </c>
      <c r="F37" s="33" t="str">
        <f>IFERROR(__xludf.DUMMYFUNCTION("""COMPUTED_VALUE"""),"Blade Cosmetic of Small Insect Leg added")</f>
        <v>Blade Cosmetic of Small Insect Leg added</v>
      </c>
      <c r="G37" s="20"/>
      <c r="H37" s="20"/>
      <c r="I37" s="20"/>
      <c r="J37" s="20"/>
      <c r="K37" s="20"/>
      <c r="L37" s="20"/>
      <c r="M37" s="20"/>
      <c r="N37" s="20"/>
      <c r="O37" s="20"/>
      <c r="P37" s="20"/>
      <c r="Q37" s="20"/>
      <c r="R37" s="20"/>
      <c r="S37" s="20"/>
      <c r="T37" s="20"/>
      <c r="U37" s="20"/>
      <c r="V37" s="20"/>
      <c r="W37" s="25"/>
    </row>
    <row r="38" ht="15.0" customHeight="1">
      <c r="A38" s="20"/>
      <c r="B38" s="21"/>
      <c r="C38" s="54" t="str">
        <f>IFERROR(__xludf.DUMMYFUNCTION("""COMPUTED_VALUE"""),"Tanks are Rolling Out")</f>
        <v>Tanks are Rolling Out</v>
      </c>
      <c r="D38" s="52"/>
      <c r="E38" s="43">
        <f>IFERROR(__xludf.DUMMYFUNCTION("""COMPUTED_VALUE"""),41982.0)</f>
        <v>41982</v>
      </c>
      <c r="F38" s="33" t="str">
        <f>IFERROR(__xludf.DUMMYFUNCTION("""COMPUTED_VALUE"""),"Tank Tracks and Tesla added")</f>
        <v>Tank Tracks and Tesla added</v>
      </c>
      <c r="G38" s="20"/>
      <c r="H38" s="20"/>
      <c r="I38" s="20"/>
      <c r="J38" s="20"/>
      <c r="K38" s="20"/>
      <c r="L38" s="20"/>
      <c r="M38" s="20"/>
      <c r="N38" s="20"/>
      <c r="O38" s="20"/>
      <c r="P38" s="20"/>
      <c r="Q38" s="20"/>
      <c r="R38" s="20"/>
      <c r="S38" s="20"/>
      <c r="T38" s="20"/>
      <c r="U38" s="20"/>
      <c r="V38" s="20"/>
      <c r="W38" s="25"/>
    </row>
    <row r="39" ht="15.0" customHeight="1">
      <c r="A39" s="20"/>
      <c r="B39" s="20"/>
      <c r="C39" s="44"/>
      <c r="D39" s="48"/>
      <c r="E39" s="43">
        <f>IFERROR(__xludf.DUMMYFUNCTION("""COMPUTED_VALUE"""),41997.0)</f>
        <v>41997</v>
      </c>
      <c r="F39" s="33" t="str">
        <f>IFERROR(__xludf.DUMMYFUNCTION("""COMPUTED_VALUE"""),"Skis added")</f>
        <v>Skis added</v>
      </c>
      <c r="G39" s="20"/>
      <c r="H39" s="20"/>
      <c r="I39" s="20"/>
      <c r="J39" s="20"/>
      <c r="K39" s="20"/>
      <c r="L39" s="20"/>
      <c r="M39" s="20"/>
      <c r="N39" s="20"/>
      <c r="O39" s="20"/>
      <c r="P39" s="20"/>
      <c r="Q39" s="20"/>
      <c r="R39" s="20"/>
      <c r="S39" s="20"/>
      <c r="T39" s="20"/>
      <c r="U39" s="20"/>
      <c r="V39" s="20"/>
      <c r="W39" s="25"/>
    </row>
    <row r="40" ht="15.0" customHeight="1">
      <c r="A40" s="20"/>
      <c r="B40" s="20"/>
      <c r="C40" s="49"/>
      <c r="D40" s="48"/>
      <c r="E40" s="43">
        <f>IFERROR(__xludf.DUMMYFUNCTION("""COMPUTED_VALUE"""),42013.0)</f>
        <v>42013</v>
      </c>
      <c r="F40" s="33" t="str">
        <f>IFERROR(__xludf.DUMMYFUNCTION("""COMPUTED_VALUE"""),"Speedometer and Altimeter added")</f>
        <v>Speedometer and Altimeter added</v>
      </c>
      <c r="G40" s="20"/>
      <c r="H40" s="20"/>
      <c r="I40" s="20"/>
      <c r="J40" s="20"/>
      <c r="K40" s="20"/>
      <c r="L40" s="20"/>
      <c r="M40" s="20"/>
      <c r="N40" s="20"/>
      <c r="O40" s="20"/>
      <c r="P40" s="20"/>
      <c r="Q40" s="20"/>
      <c r="R40" s="20"/>
      <c r="S40" s="20"/>
      <c r="T40" s="20"/>
      <c r="U40" s="20"/>
      <c r="V40" s="20"/>
      <c r="W40" s="25"/>
    </row>
    <row r="41" ht="15.0" customHeight="1">
      <c r="A41" s="20"/>
      <c r="B41" s="20"/>
      <c r="C41" s="49"/>
      <c r="D41" s="48"/>
      <c r="E41" s="43">
        <f>IFERROR(__xludf.DUMMYFUNCTION("""COMPUTED_VALUE"""),42025.0)</f>
        <v>42025</v>
      </c>
      <c r="F41" s="33" t="str">
        <f>IFERROR(__xludf.DUMMYFUNCTION("""COMPUTED_VALUE"""),"TX-1 SMG added")</f>
        <v>TX-1 SMG added</v>
      </c>
      <c r="G41" s="20"/>
      <c r="H41" s="20"/>
      <c r="I41" s="20"/>
      <c r="J41" s="55"/>
      <c r="K41" s="20"/>
      <c r="L41" s="20"/>
      <c r="M41" s="20"/>
      <c r="N41" s="20"/>
      <c r="O41" s="20"/>
      <c r="P41" s="20"/>
      <c r="Q41" s="20"/>
      <c r="R41" s="20"/>
      <c r="S41" s="20"/>
      <c r="T41" s="20"/>
      <c r="U41" s="20"/>
      <c r="V41" s="20"/>
      <c r="W41" s="25"/>
    </row>
    <row r="42" ht="15.0" customHeight="1">
      <c r="A42" s="20"/>
      <c r="B42" s="20"/>
      <c r="C42" s="49"/>
      <c r="D42" s="48"/>
      <c r="E42" s="43">
        <f>IFERROR(__xludf.DUMMYFUNCTION("""COMPUTED_VALUE"""),42032.0)</f>
        <v>42032</v>
      </c>
      <c r="F42" s="33" t="str">
        <f>IFERROR(__xludf.DUMMYFUNCTION("""COMPUTED_VALUE"""),"Mega Wheels added")</f>
        <v>Mega Wheels added</v>
      </c>
      <c r="G42" s="20"/>
      <c r="H42" s="20"/>
      <c r="I42" s="20"/>
      <c r="J42" s="20"/>
      <c r="K42" s="20"/>
      <c r="L42" s="20"/>
      <c r="M42" s="20"/>
      <c r="N42" s="20"/>
      <c r="O42" s="20"/>
      <c r="P42" s="20"/>
      <c r="Q42" s="20"/>
      <c r="R42" s="20"/>
      <c r="S42" s="20"/>
      <c r="T42" s="20"/>
      <c r="U42" s="20"/>
      <c r="V42" s="20"/>
      <c r="W42" s="25"/>
    </row>
    <row r="43" ht="15.0" customHeight="1">
      <c r="A43" s="20"/>
      <c r="B43" s="20"/>
      <c r="C43" s="51"/>
      <c r="D43" s="48"/>
      <c r="E43" s="43">
        <f>IFERROR(__xludf.DUMMYFUNCTION("""COMPUTED_VALUE"""),42046.0)</f>
        <v>42046</v>
      </c>
      <c r="F43" s="33" t="str">
        <f>IFERROR(__xludf.DUMMYFUNCTION("""COMPUTED_VALUE"""),"Megaplates added")</f>
        <v>Megaplates added</v>
      </c>
      <c r="G43" s="20"/>
      <c r="H43" s="20"/>
      <c r="I43" s="20"/>
      <c r="J43" s="20"/>
      <c r="K43" s="20"/>
      <c r="L43" s="20"/>
      <c r="M43" s="20"/>
      <c r="N43" s="20"/>
      <c r="O43" s="20"/>
      <c r="P43" s="20"/>
      <c r="Q43" s="20"/>
      <c r="R43" s="20"/>
      <c r="S43" s="20"/>
      <c r="T43" s="20"/>
      <c r="U43" s="20"/>
      <c r="V43" s="20"/>
      <c r="W43" s="25"/>
    </row>
    <row r="44" ht="15.0" customHeight="1">
      <c r="A44" s="20"/>
      <c r="B44" s="21"/>
      <c r="C44" s="54" t="str">
        <f>IFERROR(__xludf.DUMMYFUNCTION("""COMPUTED_VALUE"""),"Dawn of the Megabots")</f>
        <v>Dawn of the Megabots</v>
      </c>
      <c r="D44" s="52"/>
      <c r="E44" s="43">
        <f>IFERROR(__xludf.DUMMYFUNCTION("""COMPUTED_VALUE"""),42053.0)</f>
        <v>42053</v>
      </c>
      <c r="F44" s="33" t="str">
        <f>IFERROR(__xludf.DUMMYFUNCTION("""COMPUTED_VALUE"""),"Megabots implemented, Rotors and Mirror mode added, Lobby system, Holoflags replace Badges, TX Cubes added, Alignment Rectifier replaced")</f>
        <v>Megabots implemented, Rotors and Mirror mode added, Lobby system, Holoflags replace Badges, TX Cubes added, Alignment Rectifier replaced</v>
      </c>
      <c r="G44" s="20"/>
      <c r="H44" s="20"/>
      <c r="I44" s="20"/>
      <c r="J44" s="20"/>
      <c r="K44" s="20"/>
      <c r="L44" s="20"/>
      <c r="M44" s="20"/>
      <c r="N44" s="20"/>
      <c r="O44" s="20"/>
      <c r="P44" s="20"/>
      <c r="Q44" s="20"/>
      <c r="R44" s="20"/>
      <c r="S44" s="20"/>
      <c r="T44" s="20"/>
      <c r="U44" s="20"/>
      <c r="V44" s="20"/>
      <c r="W44" s="25"/>
    </row>
    <row r="45" ht="15.0" customHeight="1">
      <c r="A45" s="20"/>
      <c r="B45" s="20"/>
      <c r="C45" s="56"/>
      <c r="D45" s="57"/>
      <c r="E45" s="43">
        <f>IFERROR(__xludf.DUMMYFUNCTION("""COMPUTED_VALUE"""),42069.0)</f>
        <v>42069</v>
      </c>
      <c r="F45" s="33" t="str">
        <f>IFERROR(__xludf.DUMMYFUNCTION("""COMPUTED_VALUE"""),"Carbon 6 MSMG added")</f>
        <v>Carbon 6 MSMG added</v>
      </c>
      <c r="G45" s="20"/>
      <c r="H45" s="20"/>
      <c r="I45" s="20"/>
      <c r="J45" s="20"/>
      <c r="K45" s="20"/>
      <c r="L45" s="20"/>
      <c r="M45" s="20"/>
      <c r="N45" s="20"/>
      <c r="O45" s="20"/>
      <c r="P45" s="20"/>
      <c r="Q45" s="20"/>
      <c r="R45" s="20"/>
      <c r="S45" s="20"/>
      <c r="T45" s="20"/>
      <c r="U45" s="20"/>
      <c r="V45" s="20"/>
      <c r="W45" s="25"/>
    </row>
    <row r="46" ht="15.0" customHeight="1">
      <c r="A46" s="20"/>
      <c r="B46" s="20"/>
      <c r="C46" s="49"/>
      <c r="D46" s="48"/>
      <c r="E46" s="43">
        <f>IFERROR(__xludf.DUMMYFUNCTION("""COMPUTED_VALUE"""),42090.0)</f>
        <v>42090</v>
      </c>
      <c r="F46" s="33" t="str">
        <f>IFERROR(__xludf.DUMMYFUNCTION("""COMPUTED_VALUE"""),"Mega Plasma added")</f>
        <v>Mega Plasma added</v>
      </c>
      <c r="G46" s="20"/>
      <c r="H46" s="20"/>
      <c r="I46" s="20"/>
      <c r="J46" s="20"/>
      <c r="K46" s="20"/>
      <c r="L46" s="20"/>
      <c r="M46" s="20"/>
      <c r="N46" s="20"/>
      <c r="O46" s="20"/>
      <c r="P46" s="20"/>
      <c r="Q46" s="20"/>
      <c r="R46" s="20"/>
      <c r="S46" s="20"/>
      <c r="T46" s="20"/>
      <c r="U46" s="20"/>
      <c r="V46" s="20"/>
      <c r="W46" s="25"/>
    </row>
    <row r="47" ht="15.0" customHeight="1">
      <c r="A47" s="20"/>
      <c r="B47" s="20"/>
      <c r="C47" s="51"/>
      <c r="D47" s="58"/>
      <c r="E47" s="59">
        <f>IFERROR(__xludf.DUMMYFUNCTION("""COMPUTED_VALUE"""),42108.0)</f>
        <v>42108</v>
      </c>
      <c r="F47" s="33" t="str">
        <f>IFERROR(__xludf.DUMMYFUNCTION("""COMPUTED_VALUE"""),"Mega Hover added")</f>
        <v>Mega Hover added</v>
      </c>
      <c r="G47" s="20"/>
      <c r="H47" s="20"/>
      <c r="I47" s="20"/>
      <c r="J47" s="20"/>
      <c r="K47" s="20"/>
      <c r="L47" s="20"/>
      <c r="M47" s="20"/>
      <c r="N47" s="20"/>
      <c r="O47" s="20"/>
      <c r="P47" s="20"/>
      <c r="Q47" s="20"/>
      <c r="R47" s="20"/>
      <c r="S47" s="20"/>
      <c r="T47" s="20"/>
      <c r="U47" s="20"/>
      <c r="V47" s="20"/>
      <c r="W47" s="25"/>
    </row>
    <row r="48" ht="15.0" customHeight="1">
      <c r="A48" s="20"/>
      <c r="B48" s="21"/>
      <c r="C48" s="54" t="str">
        <f>IFERROR(__xludf.DUMMYFUNCTION("""COMPUTED_VALUE"""),"Respawned and Overclocked")</f>
        <v>Respawned and Overclocked</v>
      </c>
      <c r="D48" s="60" t="str">
        <f>IFERROR(__xludf.DUMMYFUNCTION("""COMPUTED_VALUE"""),"BA 1.0 Era")</f>
        <v>BA 1.0 Era</v>
      </c>
      <c r="E48" s="61">
        <f>IFERROR(__xludf.DUMMYFUNCTION("""COMPUTED_VALUE"""),42125.0)</f>
        <v>42125</v>
      </c>
      <c r="F48" s="33" t="str">
        <f>IFERROR(__xludf.DUMMYFUNCTION("""COMPUTED_VALUE"""),"Respawning, Overclocking, Fusion Towers and Base Reactors added")</f>
        <v>Respawning, Overclocking, Fusion Towers and Base Reactors added</v>
      </c>
      <c r="G48" s="20"/>
      <c r="H48" s="20"/>
      <c r="I48" s="20"/>
      <c r="J48" s="20"/>
      <c r="K48" s="20"/>
      <c r="L48" s="20"/>
      <c r="M48" s="20"/>
      <c r="N48" s="20"/>
      <c r="O48" s="20"/>
      <c r="P48" s="20"/>
      <c r="Q48" s="20"/>
      <c r="R48" s="20"/>
      <c r="S48" s="20"/>
      <c r="T48" s="20"/>
      <c r="U48" s="20"/>
      <c r="V48" s="20"/>
      <c r="W48" s="25"/>
    </row>
    <row r="49" ht="15.0" customHeight="1">
      <c r="A49" s="20"/>
      <c r="B49" s="20"/>
      <c r="C49" s="56"/>
      <c r="D49" s="62" t="str">
        <f>IFERROR(__xludf.DUMMYFUNCTION("""COMPUTED_VALUE"""),"363 Days")</f>
        <v>363 Days</v>
      </c>
      <c r="E49" s="61">
        <f>IFERROR(__xludf.DUMMYFUNCTION("""COMPUTED_VALUE"""),42145.0)</f>
        <v>42145</v>
      </c>
      <c r="F49" s="33" t="str">
        <f>IFERROR(__xludf.DUMMYFUNCTION("""COMPUTED_VALUE"""),"Electroplates now overclock, Carbon T10 Cubes and Carbon 6 SMG added")</f>
        <v>Electroplates now overclock, Carbon T10 Cubes and Carbon 6 SMG added</v>
      </c>
      <c r="G49" s="20"/>
      <c r="H49" s="20"/>
      <c r="I49" s="20"/>
      <c r="J49" s="20"/>
      <c r="K49" s="20"/>
      <c r="L49" s="20"/>
      <c r="M49" s="20"/>
      <c r="N49" s="20"/>
      <c r="O49" s="20"/>
      <c r="P49" s="20"/>
      <c r="Q49" s="20"/>
      <c r="R49" s="20"/>
      <c r="S49" s="20"/>
      <c r="T49" s="20"/>
      <c r="U49" s="20"/>
      <c r="V49" s="20"/>
      <c r="W49" s="25"/>
    </row>
    <row r="50" ht="15.0" customHeight="1">
      <c r="A50" s="20"/>
      <c r="B50" s="20"/>
      <c r="C50" s="63"/>
      <c r="D50" s="62" t="str">
        <f>IFERROR(__xludf.DUMMYFUNCTION("""COMPUTED_VALUE"""),"Average 21.4")</f>
        <v>Average 21.4</v>
      </c>
      <c r="E50" s="61">
        <f>IFERROR(__xludf.DUMMYFUNCTION("""COMPUTED_VALUE"""),42153.0)</f>
        <v>42153</v>
      </c>
      <c r="F50" s="33" t="str">
        <f>IFERROR(__xludf.DUMMYFUNCTION("""COMPUTED_VALUE"""),"Curved Cubes added")</f>
        <v>Curved Cubes added</v>
      </c>
      <c r="G50" s="20"/>
      <c r="H50" s="20"/>
      <c r="I50" s="20"/>
      <c r="J50" s="20"/>
      <c r="K50" s="20"/>
      <c r="L50" s="20"/>
      <c r="M50" s="20"/>
      <c r="N50" s="20"/>
      <c r="O50" s="20"/>
      <c r="P50" s="20"/>
      <c r="Q50" s="20"/>
      <c r="R50" s="20"/>
      <c r="S50" s="20"/>
      <c r="T50" s="20"/>
      <c r="U50" s="20"/>
      <c r="V50" s="20"/>
      <c r="W50" s="25"/>
    </row>
    <row r="51" ht="15.0" customHeight="1">
      <c r="A51" s="20"/>
      <c r="B51" s="20"/>
      <c r="C51" s="63"/>
      <c r="D51" s="48"/>
      <c r="E51" s="61">
        <f>IFERROR(__xludf.DUMMYFUNCTION("""COMPUTED_VALUE"""),42160.0)</f>
        <v>42160</v>
      </c>
      <c r="F51" s="33" t="str">
        <f>IFERROR(__xludf.DUMMYFUNCTION("""COMPUTED_VALUE"""),"Aero Rods added (Short, Long, Curved)")</f>
        <v>Aero Rods added (Short, Long, Curved)</v>
      </c>
      <c r="G51" s="20"/>
      <c r="H51" s="20"/>
      <c r="I51" s="20"/>
      <c r="J51" s="20"/>
      <c r="K51" s="20"/>
      <c r="L51" s="20"/>
      <c r="M51" s="20"/>
      <c r="N51" s="20"/>
      <c r="O51" s="20"/>
      <c r="P51" s="20"/>
      <c r="Q51" s="20"/>
      <c r="R51" s="20"/>
      <c r="S51" s="20"/>
      <c r="T51" s="20"/>
      <c r="U51" s="20"/>
      <c r="V51" s="20"/>
      <c r="W51" s="25"/>
    </row>
    <row r="52" ht="15.0" customHeight="1">
      <c r="A52" s="20"/>
      <c r="B52" s="20"/>
      <c r="C52" s="64"/>
      <c r="D52" s="57"/>
      <c r="E52" s="61">
        <f>IFERROR(__xludf.DUMMYFUNCTION("""COMPUTED_VALUE"""),42179.0)</f>
        <v>42179</v>
      </c>
      <c r="F52" s="33" t="str">
        <f>IFERROR(__xludf.DUMMYFUNCTION("""COMPUTED_VALUE"""),"Map Pings, Surrendering, BA Towers reduced from 4 to 3, Carbon 6 Thruster added")</f>
        <v>Map Pings, Surrendering, BA Towers reduced from 4 to 3, Carbon 6 Thruster added</v>
      </c>
      <c r="G52" s="20"/>
      <c r="H52" s="20"/>
      <c r="I52" s="20"/>
      <c r="J52" s="20"/>
      <c r="K52" s="20"/>
      <c r="L52" s="20"/>
      <c r="M52" s="20"/>
      <c r="N52" s="20"/>
      <c r="O52" s="20"/>
      <c r="P52" s="20"/>
      <c r="Q52" s="20"/>
      <c r="R52" s="20"/>
      <c r="S52" s="20"/>
      <c r="T52" s="20"/>
      <c r="U52" s="20"/>
      <c r="V52" s="20"/>
      <c r="W52" s="25"/>
    </row>
    <row r="53" ht="15.0" customHeight="1">
      <c r="A53" s="20"/>
      <c r="B53" s="21"/>
      <c r="C53" s="54" t="str">
        <f>IFERROR(__xludf.DUMMYFUNCTION("""COMPUTED_VALUE"""),"Robocraft Unleashed")</f>
        <v>Robocraft Unleashed</v>
      </c>
      <c r="D53" s="52"/>
      <c r="E53" s="61">
        <f>IFERROR(__xludf.DUMMYFUNCTION("""COMPUTED_VALUE"""),42213.0)</f>
        <v>42213</v>
      </c>
      <c r="F53" s="33" t="str">
        <f>IFERROR(__xludf.DUMMYFUNCTION("""COMPUTED_VALUE"""),"Spiral Tech Tree, New Map (Spitzer Dam)")</f>
        <v>Spiral Tech Tree, New Map (Spitzer Dam)</v>
      </c>
      <c r="G53" s="20"/>
      <c r="H53" s="20"/>
      <c r="I53" s="20"/>
      <c r="J53" s="20"/>
      <c r="K53" s="20"/>
      <c r="L53" s="20"/>
      <c r="M53" s="20"/>
      <c r="N53" s="20"/>
      <c r="O53" s="20"/>
      <c r="P53" s="20"/>
      <c r="Q53" s="20"/>
      <c r="R53" s="20"/>
      <c r="S53" s="20"/>
      <c r="T53" s="20"/>
      <c r="U53" s="20"/>
      <c r="V53" s="20"/>
      <c r="W53" s="25"/>
    </row>
    <row r="54" ht="15.0" customHeight="1">
      <c r="A54" s="20"/>
      <c r="B54" s="20"/>
      <c r="C54" s="65"/>
      <c r="D54" s="48"/>
      <c r="E54" s="61">
        <f>IFERROR(__xludf.DUMMYFUNCTION("""COMPUTED_VALUE"""),42243.0)</f>
        <v>42243</v>
      </c>
      <c r="F54" s="33" t="str">
        <f>IFERROR(__xludf.DUMMYFUNCTION("""COMPUTED_VALUE"""),"New Map (Test Zone), Pit mode added")</f>
        <v>New Map (Test Zone), Pit mode added</v>
      </c>
      <c r="G54" s="20"/>
      <c r="H54" s="20"/>
      <c r="I54" s="20"/>
      <c r="J54" s="20"/>
      <c r="K54" s="20"/>
      <c r="L54" s="20"/>
      <c r="M54" s="20"/>
      <c r="N54" s="20"/>
      <c r="O54" s="20"/>
      <c r="P54" s="20"/>
      <c r="Q54" s="20"/>
      <c r="R54" s="20"/>
      <c r="S54" s="20"/>
      <c r="T54" s="20"/>
      <c r="U54" s="20"/>
      <c r="V54" s="20"/>
      <c r="W54" s="25"/>
    </row>
    <row r="55" ht="15.0" customHeight="1">
      <c r="A55" s="20"/>
      <c r="B55" s="20"/>
      <c r="C55" s="63"/>
      <c r="D55" s="48"/>
      <c r="E55" s="61">
        <f>IFERROR(__xludf.DUMMYFUNCTION("""COMPUTED_VALUE"""),42271.0)</f>
        <v>42271</v>
      </c>
      <c r="F55" s="33" t="str">
        <f>IFERROR(__xludf.DUMMYFUNCTION("""COMPUTED_VALUE"""),"CRF added")</f>
        <v>CRF added</v>
      </c>
      <c r="G55" s="20"/>
      <c r="H55" s="20"/>
      <c r="I55" s="20"/>
      <c r="J55" s="20"/>
      <c r="K55" s="20"/>
      <c r="L55" s="20"/>
      <c r="M55" s="20"/>
      <c r="N55" s="20"/>
      <c r="O55" s="20"/>
      <c r="P55" s="20"/>
      <c r="Q55" s="20"/>
      <c r="R55" s="20"/>
      <c r="S55" s="20"/>
      <c r="T55" s="20"/>
      <c r="U55" s="20"/>
      <c r="V55" s="20"/>
      <c r="W55" s="25"/>
    </row>
    <row r="56" ht="15.0" customHeight="1">
      <c r="A56" s="20"/>
      <c r="B56" s="20"/>
      <c r="C56" s="63"/>
      <c r="D56" s="48"/>
      <c r="E56" s="61">
        <f>IFERROR(__xludf.DUMMYFUNCTION("""COMPUTED_VALUE"""),42300.0)</f>
        <v>42300</v>
      </c>
      <c r="F56" s="33" t="str">
        <f>IFERROR(__xludf.DUMMYFUNCTION("""COMPUTED_VALUE"""),"Mech Legs added, Leagues added")</f>
        <v>Mech Legs added, Leagues added</v>
      </c>
      <c r="G56" s="20"/>
      <c r="H56" s="20"/>
      <c r="I56" s="20"/>
      <c r="J56" s="20"/>
      <c r="K56" s="20"/>
      <c r="L56" s="20"/>
      <c r="M56" s="20"/>
      <c r="N56" s="20"/>
      <c r="O56" s="20"/>
      <c r="P56" s="20"/>
      <c r="Q56" s="20"/>
      <c r="R56" s="20"/>
      <c r="S56" s="20"/>
      <c r="T56" s="20"/>
      <c r="U56" s="20"/>
      <c r="V56" s="20"/>
      <c r="W56" s="25"/>
    </row>
    <row r="57" ht="15.0" customHeight="1">
      <c r="A57" s="20"/>
      <c r="B57" s="20"/>
      <c r="C57" s="64"/>
      <c r="D57" s="48"/>
      <c r="E57" s="61">
        <f>IFERROR(__xludf.DUMMYFUNCTION("""COMPUTED_VALUE"""),42307.0)</f>
        <v>42307</v>
      </c>
      <c r="F57" s="33" t="str">
        <f>IFERROR(__xludf.DUMMYFUNCTION("""COMPUTED_VALUE"""),"T10 Bat Wings and Rudders added")</f>
        <v>T10 Bat Wings and Rudders added</v>
      </c>
      <c r="G57" s="20"/>
      <c r="H57" s="20"/>
      <c r="I57" s="20"/>
      <c r="J57" s="20"/>
      <c r="K57" s="20"/>
      <c r="L57" s="20"/>
      <c r="M57" s="20"/>
      <c r="N57" s="20"/>
      <c r="O57" s="20"/>
      <c r="P57" s="20"/>
      <c r="Q57" s="20"/>
      <c r="R57" s="20"/>
      <c r="S57" s="20"/>
      <c r="T57" s="20"/>
      <c r="U57" s="20"/>
      <c r="V57" s="20"/>
      <c r="W57" s="25"/>
    </row>
    <row r="58" ht="15.0" customHeight="1">
      <c r="A58" s="20"/>
      <c r="B58" s="21"/>
      <c r="C58" s="54" t="str">
        <f>IFERROR(__xludf.DUMMYFUNCTION("""COMPUTED_VALUE"""),"Full Spectrum Combat")</f>
        <v>Full Spectrum Combat</v>
      </c>
      <c r="D58" s="66"/>
      <c r="E58" s="61">
        <f>IFERROR(__xludf.DUMMYFUNCTION("""COMPUTED_VALUE"""),42356.0)</f>
        <v>42356</v>
      </c>
      <c r="F58" s="33" t="str">
        <f>IFERROR(__xludf.DUMMYFUNCTION("""COMPUTED_VALUE"""),"Tiers and Pilot Seats removed, Paint Gun, Auto-Regen, Sloped Cubes and free Garage Bays added, Mega Seat changed to Power Booster, Max CPU increased from 1511 to 1515, Old Battle mode renamed to TDM")</f>
        <v>Tiers and Pilot Seats removed, Paint Gun, Auto-Regen, Sloped Cubes and free Garage Bays added, Mega Seat changed to Power Booster, Max CPU increased from 1511 to 1515, Old Battle mode renamed to TDM</v>
      </c>
      <c r="G58" s="20"/>
      <c r="H58" s="20"/>
      <c r="I58" s="20"/>
      <c r="J58" s="20"/>
      <c r="K58" s="20"/>
      <c r="L58" s="20"/>
      <c r="M58" s="20"/>
      <c r="N58" s="20"/>
      <c r="O58" s="20"/>
      <c r="P58" s="20"/>
      <c r="Q58" s="20"/>
      <c r="R58" s="20"/>
      <c r="S58" s="20"/>
      <c r="T58" s="20"/>
      <c r="U58" s="20"/>
      <c r="V58" s="20"/>
      <c r="W58" s="25"/>
    </row>
    <row r="59" ht="15.0" customHeight="1">
      <c r="A59" s="20"/>
      <c r="B59" s="20"/>
      <c r="C59" s="65"/>
      <c r="D59" s="48"/>
      <c r="E59" s="61">
        <f>IFERROR(__xludf.DUMMYFUNCTION("""COMPUTED_VALUE"""),42384.0)</f>
        <v>42384</v>
      </c>
      <c r="F59" s="33" t="str">
        <f>IFERROR(__xludf.DUMMYFUNCTION("""COMPUTED_VALUE"""),"Large Flak added")</f>
        <v>Large Flak added</v>
      </c>
      <c r="G59" s="20"/>
      <c r="H59" s="20"/>
      <c r="I59" s="20"/>
      <c r="J59" s="20"/>
      <c r="K59" s="20"/>
      <c r="L59" s="20"/>
      <c r="M59" s="20"/>
      <c r="N59" s="20"/>
      <c r="O59" s="20"/>
      <c r="P59" s="20"/>
      <c r="Q59" s="20"/>
      <c r="R59" s="20"/>
      <c r="S59" s="20"/>
      <c r="T59" s="20"/>
      <c r="U59" s="20"/>
      <c r="V59" s="20"/>
      <c r="W59" s="25"/>
    </row>
    <row r="60" ht="15.0" customHeight="1">
      <c r="A60" s="20"/>
      <c r="B60" s="20"/>
      <c r="C60" s="64"/>
      <c r="D60" s="48"/>
      <c r="E60" s="61">
        <f>IFERROR(__xludf.DUMMYFUNCTION("""COMPUTED_VALUE"""),42404.0)</f>
        <v>42404</v>
      </c>
      <c r="F60" s="33" t="str">
        <f>IFERROR(__xludf.DUMMYFUNCTION("""COMPUTED_VALUE"""),"Large LOML added")</f>
        <v>Large LOML added</v>
      </c>
      <c r="G60" s="20"/>
      <c r="H60" s="20"/>
      <c r="I60" s="20"/>
      <c r="J60" s="20"/>
      <c r="K60" s="20"/>
      <c r="L60" s="20"/>
      <c r="M60" s="20"/>
      <c r="N60" s="20"/>
      <c r="O60" s="20"/>
      <c r="P60" s="20"/>
      <c r="Q60" s="20"/>
      <c r="R60" s="20"/>
      <c r="S60" s="20"/>
      <c r="T60" s="20"/>
      <c r="U60" s="20"/>
      <c r="V60" s="20"/>
      <c r="W60" s="25"/>
    </row>
    <row r="61" ht="15.0" customHeight="1">
      <c r="A61" s="20"/>
      <c r="B61" s="21"/>
      <c r="C61" s="54" t="str">
        <f>IFERROR(__xludf.DUMMYFUNCTION("""COMPUTED_VALUE"""),"Maximum Loadout")</f>
        <v>Maximum Loadout</v>
      </c>
      <c r="D61" s="52"/>
      <c r="E61" s="61">
        <f>IFERROR(__xludf.DUMMYFUNCTION("""COMPUTED_VALUE"""),42432.0)</f>
        <v>42432</v>
      </c>
      <c r="F61" s="33" t="str">
        <f>IFERROR(__xludf.DUMMYFUNCTION("""COMPUTED_VALUE"""),"Blink and DSM modules added, Loadout system, Energy introduced, extra connection points added to Wings/Rudders, Tesla now a ""chainsaw"" weapon, Rail penetration")</f>
        <v>Blink and DSM modules added, Loadout system, Energy introduced, extra connection points added to Wings/Rudders, Tesla now a "chainsaw" weapon, Rail penetration</v>
      </c>
      <c r="G61" s="20"/>
      <c r="H61" s="20"/>
      <c r="I61" s="20"/>
      <c r="J61" s="20"/>
      <c r="K61" s="20"/>
      <c r="L61" s="20"/>
      <c r="M61" s="20"/>
      <c r="N61" s="20"/>
      <c r="O61" s="20"/>
      <c r="P61" s="20"/>
      <c r="Q61" s="20"/>
      <c r="R61" s="20"/>
      <c r="S61" s="20"/>
      <c r="T61" s="20"/>
      <c r="U61" s="20"/>
      <c r="V61" s="20"/>
      <c r="W61" s="25"/>
    </row>
    <row r="62" ht="15.0" customHeight="1">
      <c r="A62" s="20"/>
      <c r="B62" s="20"/>
      <c r="C62" s="65"/>
      <c r="D62" s="48"/>
      <c r="E62" s="61">
        <f>IFERROR(__xludf.DUMMYFUNCTION("""COMPUTED_VALUE"""),42447.0)</f>
        <v>42447</v>
      </c>
      <c r="F62" s="33" t="str">
        <f>IFERROR(__xludf.DUMMYFUNCTION("""COMPUTED_VALUE"""),"Proto-Seeker added, Headlights no longer OP")</f>
        <v>Proto-Seeker added, Headlights no longer OP</v>
      </c>
      <c r="G62" s="20"/>
      <c r="H62" s="20"/>
      <c r="I62" s="20"/>
      <c r="J62" s="20"/>
      <c r="K62" s="20"/>
      <c r="L62" s="20"/>
      <c r="M62" s="20"/>
      <c r="N62" s="20"/>
      <c r="O62" s="20"/>
      <c r="P62" s="20"/>
      <c r="Q62" s="20"/>
      <c r="R62" s="20"/>
      <c r="S62" s="20"/>
      <c r="T62" s="20"/>
      <c r="U62" s="20"/>
      <c r="V62" s="20"/>
      <c r="W62" s="25"/>
    </row>
    <row r="63" ht="15.0" customHeight="1">
      <c r="A63" s="20"/>
      <c r="B63" s="20"/>
      <c r="C63" s="63"/>
      <c r="D63" s="48"/>
      <c r="E63" s="61">
        <f>IFERROR(__xludf.DUMMYFUNCTION("""COMPUTED_VALUE"""),42464.0)</f>
        <v>42464</v>
      </c>
      <c r="F63" s="67" t="str">
        <f>IFERROR(__xludf.DUMMYFUNCTION("""COMPUTED_VALUE"""),"Max Player Level (100) and CPU (1,515) increased to 150 and 1,750 respectively")</f>
        <v>Max Player Level (100) and CPU (1,515) increased to 150 and 1,750 respectively</v>
      </c>
      <c r="G63" s="20"/>
      <c r="H63" s="20"/>
      <c r="I63" s="20"/>
      <c r="J63" s="20"/>
      <c r="K63" s="20"/>
      <c r="L63" s="20"/>
      <c r="M63" s="20"/>
      <c r="N63" s="20"/>
      <c r="O63" s="20"/>
      <c r="P63" s="20"/>
      <c r="Q63" s="20"/>
      <c r="R63" s="20"/>
      <c r="S63" s="20"/>
      <c r="T63" s="20"/>
      <c r="U63" s="20"/>
      <c r="V63" s="20"/>
      <c r="W63" s="25"/>
    </row>
    <row r="64" ht="15.0" customHeight="1">
      <c r="A64" s="20"/>
      <c r="B64" s="20"/>
      <c r="C64" s="64"/>
      <c r="D64" s="58"/>
      <c r="E64" s="68">
        <f>IFERROR(__xludf.DUMMYFUNCTION("""COMPUTED_VALUE"""),42474.0)</f>
        <v>42474</v>
      </c>
      <c r="F64" s="33" t="str">
        <f>IFERROR(__xludf.DUMMYFUNCTION("""COMPUTED_VALUE"""),"Large Ion Distorter and Ghost Module added")</f>
        <v>Large Ion Distorter and Ghost Module added</v>
      </c>
      <c r="G64" s="20"/>
      <c r="H64" s="20"/>
      <c r="I64" s="20"/>
      <c r="J64" s="20"/>
      <c r="K64" s="20"/>
      <c r="L64" s="20"/>
      <c r="M64" s="20"/>
      <c r="N64" s="20"/>
      <c r="O64" s="20"/>
      <c r="P64" s="20"/>
      <c r="Q64" s="20"/>
      <c r="R64" s="20"/>
      <c r="S64" s="20"/>
      <c r="T64" s="20"/>
      <c r="U64" s="20"/>
      <c r="V64" s="20"/>
      <c r="W64" s="25"/>
    </row>
    <row r="65" ht="15.0" customHeight="1">
      <c r="A65" s="20"/>
      <c r="B65" s="21"/>
      <c r="C65" s="54" t="str">
        <f>IFERROR(__xludf.DUMMYFUNCTION("""COMPUTED_VALUE"""),"Epic Loot")</f>
        <v>Epic Loot</v>
      </c>
      <c r="D65" s="69" t="str">
        <f>IFERROR(__xludf.DUMMYFUNCTION("""COMPUTED_VALUE"""),"Tier Flattened Era")</f>
        <v>Tier Flattened Era</v>
      </c>
      <c r="E65" s="70">
        <f>IFERROR(__xludf.DUMMYFUNCTION("""COMPUTED_VALUE"""),42488.0)</f>
        <v>42488</v>
      </c>
      <c r="F65" s="33" t="str">
        <f>IFERROR(__xludf.DUMMYFUNCTION("""COMPUTED_VALUE"""),"Crates added, Robits replace RP (RP divided by 63), Tiered parts flattened and renamed, Robot Ranking and Tech Tree removed")</f>
        <v>Crates added, Robits replace RP (RP divided by 63), Tiered parts flattened and renamed, Robot Ranking and Tech Tree removed</v>
      </c>
      <c r="G65" s="20"/>
      <c r="H65" s="20"/>
      <c r="I65" s="20"/>
      <c r="J65" s="20"/>
      <c r="K65" s="20"/>
      <c r="L65" s="20"/>
      <c r="M65" s="20"/>
      <c r="N65" s="20"/>
      <c r="O65" s="20"/>
      <c r="P65" s="20"/>
      <c r="Q65" s="20"/>
      <c r="R65" s="20"/>
      <c r="S65" s="20"/>
      <c r="T65" s="20"/>
      <c r="U65" s="20"/>
      <c r="V65" s="20"/>
      <c r="W65" s="25"/>
    </row>
    <row r="66" ht="15.0" customHeight="1">
      <c r="A66" s="20"/>
      <c r="B66" s="20"/>
      <c r="C66" s="65"/>
      <c r="D66" s="71" t="str">
        <f>IFERROR(__xludf.DUMMYFUNCTION("""COMPUTED_VALUE"""),"309 Days")</f>
        <v>309 Days</v>
      </c>
      <c r="E66" s="70">
        <f>IFERROR(__xludf.DUMMYFUNCTION("""COMPUTED_VALUE"""),42500.0)</f>
        <v>42500</v>
      </c>
      <c r="F66" s="33" t="str">
        <f>IFERROR(__xludf.DUMMYFUNCTION("""COMPUTED_VALUE"""),"All bots given minimum collision box to prevent unkillable microbots")</f>
        <v>All bots given minimum collision box to prevent unkillable microbots</v>
      </c>
      <c r="G66" s="20"/>
      <c r="H66" s="20"/>
      <c r="I66" s="20"/>
      <c r="J66" s="20"/>
      <c r="K66" s="20"/>
      <c r="L66" s="20"/>
      <c r="M66" s="20"/>
      <c r="N66" s="20"/>
      <c r="O66" s="20"/>
      <c r="P66" s="20"/>
      <c r="Q66" s="20"/>
      <c r="R66" s="20"/>
      <c r="S66" s="20"/>
      <c r="T66" s="20"/>
      <c r="U66" s="20"/>
      <c r="V66" s="20"/>
      <c r="W66" s="25"/>
    </row>
    <row r="67" ht="15.0" customHeight="1">
      <c r="A67" s="20"/>
      <c r="B67" s="20"/>
      <c r="C67" s="63"/>
      <c r="D67" s="71" t="str">
        <f>IFERROR(__xludf.DUMMYFUNCTION("""COMPUTED_VALUE"""),"Average 12.8")</f>
        <v>Average 12.8</v>
      </c>
      <c r="E67" s="70">
        <f>IFERROR(__xludf.DUMMYFUNCTION("""COMPUTED_VALUE"""),42514.0)</f>
        <v>42514</v>
      </c>
      <c r="F67" s="33" t="str">
        <f>IFERROR(__xludf.DUMMYFUNCTION("""COMPUTED_VALUE"""),"Strafe controls added")</f>
        <v>Strafe controls added</v>
      </c>
      <c r="G67" s="20"/>
      <c r="H67" s="20"/>
      <c r="I67" s="20"/>
      <c r="J67" s="20"/>
      <c r="K67" s="20"/>
      <c r="L67" s="20"/>
      <c r="M67" s="20"/>
      <c r="N67" s="20"/>
      <c r="O67" s="20"/>
      <c r="P67" s="20"/>
      <c r="Q67" s="20"/>
      <c r="R67" s="20"/>
      <c r="S67" s="20"/>
      <c r="T67" s="20"/>
      <c r="U67" s="20"/>
      <c r="V67" s="20"/>
      <c r="W67" s="25"/>
    </row>
    <row r="68" ht="15.0" customHeight="1">
      <c r="A68" s="20"/>
      <c r="B68" s="20"/>
      <c r="C68" s="64"/>
      <c r="D68" s="48"/>
      <c r="E68" s="70">
        <f>IFERROR(__xludf.DUMMYFUNCTION("""COMPUTED_VALUE"""),42523.0)</f>
        <v>42523</v>
      </c>
      <c r="F68" s="33" t="str">
        <f>IFERROR(__xludf.DUMMYFUNCTION("""COMPUTED_VALUE"""),"New Map (Birmingham Power Station), TDM and Player avatars added, Old TDM renamed to Elimination")</f>
        <v>New Map (Birmingham Power Station), TDM and Player avatars added, Old TDM renamed to Elimination</v>
      </c>
      <c r="G68" s="20"/>
      <c r="H68" s="20"/>
      <c r="I68" s="20"/>
      <c r="J68" s="20"/>
      <c r="K68" s="20"/>
      <c r="L68" s="20"/>
      <c r="M68" s="20"/>
      <c r="N68" s="20"/>
      <c r="O68" s="20"/>
      <c r="P68" s="20"/>
      <c r="Q68" s="20"/>
      <c r="R68" s="20"/>
      <c r="S68" s="20"/>
      <c r="T68" s="20"/>
      <c r="U68" s="20"/>
      <c r="V68" s="20"/>
      <c r="W68" s="25"/>
    </row>
    <row r="69" ht="15.0" customHeight="1">
      <c r="A69" s="20"/>
      <c r="B69" s="21"/>
      <c r="C69" s="54" t="str">
        <f>IFERROR(__xludf.DUMMYFUNCTION("""COMPUTED_VALUE"""),"Smart Weapons")</f>
        <v>Smart Weapons</v>
      </c>
      <c r="D69" s="52"/>
      <c r="E69" s="70">
        <f>IFERROR(__xludf.DUMMYFUNCTION("""COMPUTED_VALUE"""),42537.0)</f>
        <v>42537</v>
      </c>
      <c r="F69" s="33" t="str">
        <f>IFERROR(__xludf.DUMMYFUNCTION("""COMPUTED_VALUE"""),"Smart Weapons system and Small Ion Destabiliser added, Garage limit increased to 100, Camera Controls added (horizontal only)")</f>
        <v>Smart Weapons system and Small Ion Destabiliser added, Garage limit increased to 100, Camera Controls added (horizontal only)</v>
      </c>
      <c r="G69" s="20"/>
      <c r="H69" s="20"/>
      <c r="I69" s="20"/>
      <c r="J69" s="20"/>
      <c r="K69" s="20"/>
      <c r="L69" s="20"/>
      <c r="M69" s="20"/>
      <c r="N69" s="20"/>
      <c r="O69" s="20"/>
      <c r="P69" s="20"/>
      <c r="Q69" s="20"/>
      <c r="R69" s="20"/>
      <c r="S69" s="20"/>
      <c r="T69" s="20"/>
      <c r="U69" s="20"/>
      <c r="V69" s="20"/>
      <c r="W69" s="25"/>
    </row>
    <row r="70" ht="15.0" customHeight="1">
      <c r="A70" s="20"/>
      <c r="B70" s="20"/>
      <c r="C70" s="56"/>
      <c r="D70" s="48"/>
      <c r="E70" s="70">
        <f>IFERROR(__xludf.DUMMYFUNCTION("""COMPUTED_VALUE"""),42542.0)</f>
        <v>42542</v>
      </c>
      <c r="F70" s="33" t="str">
        <f>IFERROR(__xludf.DUMMYFUNCTION("""COMPUTED_VALUE"""),"Official Robocraft Discord Server is created")</f>
        <v>Official Robocraft Discord Server is created</v>
      </c>
      <c r="G70" s="20"/>
      <c r="H70" s="20"/>
      <c r="I70" s="20"/>
      <c r="J70" s="20"/>
      <c r="K70" s="20"/>
      <c r="L70" s="20"/>
      <c r="M70" s="20"/>
      <c r="N70" s="20"/>
      <c r="O70" s="20"/>
      <c r="P70" s="20"/>
      <c r="Q70" s="20"/>
      <c r="R70" s="20"/>
      <c r="S70" s="20"/>
      <c r="T70" s="20"/>
      <c r="U70" s="20"/>
      <c r="V70" s="20"/>
      <c r="W70" s="25"/>
    </row>
    <row r="71" ht="15.0" customHeight="1">
      <c r="A71" s="20"/>
      <c r="B71" s="20"/>
      <c r="C71" s="64"/>
      <c r="D71" s="48"/>
      <c r="E71" s="70">
        <f>IFERROR(__xludf.DUMMYFUNCTION("""COMPUTED_VALUE"""),42551.0)</f>
        <v>42551</v>
      </c>
      <c r="F71" s="33" t="str">
        <f>IFERROR(__xludf.DUMMYFUNCTION("""COMPUTED_VALUE"""),"Small Flak added, CPU now influences Energy Regen, Nominal count maximum is now 4, Vertical support for Camera Controls")</f>
        <v>Small Flak added, CPU now influences Energy Regen, Nominal count maximum is now 4, Vertical support for Camera Controls</v>
      </c>
      <c r="G71" s="20"/>
      <c r="H71" s="20"/>
      <c r="I71" s="20"/>
      <c r="J71" s="20"/>
      <c r="K71" s="20"/>
      <c r="L71" s="20"/>
      <c r="M71" s="20"/>
      <c r="N71" s="20"/>
      <c r="O71" s="20"/>
      <c r="P71" s="20"/>
      <c r="Q71" s="20"/>
      <c r="R71" s="20"/>
      <c r="S71" s="20"/>
      <c r="T71" s="20"/>
      <c r="U71" s="20"/>
      <c r="V71" s="20"/>
      <c r="W71" s="25"/>
    </row>
    <row r="72" ht="15.0" customHeight="1">
      <c r="A72" s="20"/>
      <c r="B72" s="21"/>
      <c r="C72" s="54" t="str">
        <f>IFERROR(__xludf.DUMMYFUNCTION("""COMPUTED_VALUE"""),"Enter The Shredzone")</f>
        <v>Enter The Shredzone</v>
      </c>
      <c r="D72" s="52"/>
      <c r="E72" s="70">
        <f>IFERROR(__xludf.DUMMYFUNCTION("""COMPUTED_VALUE"""),42565.0)</f>
        <v>42565</v>
      </c>
      <c r="F72" s="33" t="str">
        <f>IFERROR(__xludf.DUMMYFUNCTION("""COMPUTED_VALUE"""),"Large Chaingun, EMP Module and Diagonal Rods added, Received official ESRB Rating of 10+, Interactive Tutorial and Single Player TDM modes added")</f>
        <v>Large Chaingun, EMP Module and Diagonal Rods added, Received official ESRB Rating of 10+, Interactive Tutorial and Single Player TDM modes added</v>
      </c>
      <c r="G72" s="20"/>
      <c r="H72" s="20"/>
      <c r="I72" s="20"/>
      <c r="J72" s="20"/>
      <c r="K72" s="20"/>
      <c r="L72" s="20"/>
      <c r="M72" s="20"/>
      <c r="N72" s="20"/>
      <c r="O72" s="20"/>
      <c r="P72" s="20"/>
      <c r="Q72" s="20"/>
      <c r="R72" s="20"/>
      <c r="S72" s="20"/>
      <c r="T72" s="20"/>
      <c r="U72" s="20"/>
      <c r="V72" s="20"/>
      <c r="W72" s="25"/>
    </row>
    <row r="73" ht="15.0" customHeight="1">
      <c r="A73" s="20"/>
      <c r="B73" s="21"/>
      <c r="C73" s="54" t="str">
        <f>IFERROR(__xludf.DUMMYFUNCTION("""COMPUTED_VALUE"""),"Strut Your Stuff")</f>
        <v>Strut Your Stuff</v>
      </c>
      <c r="D73" s="52"/>
      <c r="E73" s="70">
        <f>IFERROR(__xludf.DUMMYFUNCTION("""COMPUTED_VALUE"""),42586.0)</f>
        <v>42586</v>
      </c>
      <c r="F73" s="33" t="str">
        <f>IFERROR(__xludf.DUMMYFUNCTION("""COMPUTED_VALUE"""),"Struts and CoM indicator added. Resistivity and Barrier protection removed. AoE system upgraded")</f>
        <v>Struts and CoM indicator added. Resistivity and Barrier protection removed. AoE system upgraded</v>
      </c>
      <c r="G73" s="20"/>
      <c r="H73" s="20"/>
      <c r="I73" s="20"/>
      <c r="J73" s="20"/>
      <c r="K73" s="20"/>
      <c r="L73" s="20"/>
      <c r="M73" s="20"/>
      <c r="N73" s="20"/>
      <c r="O73" s="20"/>
      <c r="P73" s="20"/>
      <c r="Q73" s="20"/>
      <c r="R73" s="20"/>
      <c r="S73" s="20"/>
      <c r="T73" s="20"/>
      <c r="U73" s="20"/>
      <c r="V73" s="20"/>
      <c r="W73" s="25"/>
    </row>
    <row r="74" ht="15.0" customHeight="1">
      <c r="A74" s="20"/>
      <c r="B74" s="21"/>
      <c r="C74" s="72" t="str">
        <f>IFERROR(__xludf.DUMMYFUNCTION("""COMPUTED_VALUE"""),"Temporal Rift Event")</f>
        <v>Temporal Rift Event</v>
      </c>
      <c r="D74" s="52"/>
      <c r="E74" s="70">
        <f>IFERROR(__xludf.DUMMYFUNCTION("""COMPUTED_VALUE"""),42601.0)</f>
        <v>42601</v>
      </c>
      <c r="F74" s="33" t="str">
        <f>IFERROR(__xludf.DUMMYFUNCTION("""COMPUTED_VALUE"""),"Temporary event. All modules cooldowns and energy cost halved.")</f>
        <v>Temporary event. All modules cooldowns and energy cost halved.</v>
      </c>
      <c r="G74" s="20"/>
      <c r="H74" s="20"/>
      <c r="I74" s="20"/>
      <c r="J74" s="20"/>
      <c r="K74" s="20"/>
      <c r="L74" s="20"/>
      <c r="M74" s="20"/>
      <c r="N74" s="20"/>
      <c r="O74" s="20"/>
      <c r="P74" s="20"/>
      <c r="Q74" s="20"/>
      <c r="R74" s="20"/>
      <c r="S74" s="20"/>
      <c r="T74" s="20"/>
      <c r="U74" s="20"/>
      <c r="V74" s="20"/>
      <c r="W74" s="25"/>
    </row>
    <row r="75" ht="15.0" customHeight="1">
      <c r="A75" s="20"/>
      <c r="B75" s="20"/>
      <c r="C75" s="73"/>
      <c r="D75" s="48"/>
      <c r="E75" s="70">
        <f>IFERROR(__xludf.DUMMYFUNCTION("""COMPUTED_VALUE"""),42620.0)</f>
        <v>42620</v>
      </c>
      <c r="F75" s="33" t="str">
        <f>IFERROR(__xludf.DUMMYFUNCTION("""COMPUTED_VALUE"""),"Clans system added")</f>
        <v>Clans system added</v>
      </c>
      <c r="G75" s="20"/>
      <c r="H75" s="20"/>
      <c r="I75" s="20"/>
      <c r="J75" s="20"/>
      <c r="K75" s="20"/>
      <c r="L75" s="20"/>
      <c r="M75" s="20"/>
      <c r="N75" s="20"/>
      <c r="O75" s="20"/>
      <c r="P75" s="20"/>
      <c r="Q75" s="20"/>
      <c r="R75" s="20"/>
      <c r="S75" s="20"/>
      <c r="T75" s="20"/>
      <c r="U75" s="20"/>
      <c r="V75" s="20"/>
      <c r="W75" s="25"/>
    </row>
    <row r="76" ht="15.0" customHeight="1">
      <c r="A76" s="20"/>
      <c r="B76" s="21"/>
      <c r="C76" s="54" t="str">
        <f>IFERROR(__xludf.DUMMYFUNCTION("""COMPUTED_VALUE"""),"Shiprekt Event")</f>
        <v>Shiprekt Event</v>
      </c>
      <c r="D76" s="52"/>
      <c r="E76" s="70">
        <f>IFERROR(__xludf.DUMMYFUNCTION("""COMPUTED_VALUE"""),42635.0)</f>
        <v>42635</v>
      </c>
      <c r="F76" s="33" t="str">
        <f>IFERROR(__xludf.DUMMYFUNCTION("""COMPUTED_VALUE"""),"Temporary event, Plasma projectiles larger/slower/stronger")</f>
        <v>Temporary event, Plasma projectiles larger/slower/stronger</v>
      </c>
      <c r="G76" s="20"/>
      <c r="H76" s="20"/>
      <c r="I76" s="20"/>
      <c r="J76" s="20"/>
      <c r="K76" s="20"/>
      <c r="L76" s="20"/>
      <c r="M76" s="20"/>
      <c r="N76" s="20"/>
      <c r="O76" s="20"/>
      <c r="P76" s="20"/>
      <c r="Q76" s="20"/>
      <c r="R76" s="20"/>
      <c r="S76" s="20"/>
      <c r="T76" s="20"/>
      <c r="U76" s="20"/>
      <c r="V76" s="20"/>
      <c r="W76" s="25"/>
    </row>
    <row r="77" ht="15.0" customHeight="1">
      <c r="A77" s="20"/>
      <c r="B77" s="20"/>
      <c r="C77" s="65"/>
      <c r="D77" s="48"/>
      <c r="E77" s="70">
        <f>IFERROR(__xludf.DUMMYFUNCTION("""COMPUTED_VALUE"""),42643.0)</f>
        <v>42643</v>
      </c>
      <c r="F77" s="33" t="str">
        <f>IFERROR(__xludf.DUMMYFUNCTION("""COMPUTED_VALUE"""),"Sprinter Legs added")</f>
        <v>Sprinter Legs added</v>
      </c>
      <c r="G77" s="20"/>
      <c r="H77" s="20"/>
      <c r="I77" s="20"/>
      <c r="J77" s="20"/>
      <c r="K77" s="20"/>
      <c r="L77" s="20"/>
      <c r="M77" s="20"/>
      <c r="N77" s="20"/>
      <c r="O77" s="20"/>
      <c r="P77" s="20"/>
      <c r="Q77" s="20"/>
      <c r="R77" s="20"/>
      <c r="S77" s="20"/>
      <c r="T77" s="20"/>
      <c r="U77" s="20"/>
      <c r="V77" s="20"/>
      <c r="W77" s="25"/>
    </row>
    <row r="78" ht="15.0" customHeight="1">
      <c r="A78" s="20"/>
      <c r="B78" s="20"/>
      <c r="C78" s="63"/>
      <c r="D78" s="48"/>
      <c r="E78" s="70">
        <f>IFERROR(__xludf.DUMMYFUNCTION("""COMPUTED_VALUE"""),42649.0)</f>
        <v>42649</v>
      </c>
      <c r="F78" s="33" t="str">
        <f>IFERROR(__xludf.DUMMYFUNCTION("""COMPUTED_VALUE"""),"Premium no longer required for Platoons/Parties, Lifetime Premium option made available")</f>
        <v>Premium no longer required for Platoons/Parties, Lifetime Premium option made available</v>
      </c>
      <c r="G78" s="20"/>
      <c r="H78" s="20"/>
      <c r="I78" s="20"/>
      <c r="J78" s="20"/>
      <c r="K78" s="20"/>
      <c r="L78" s="20"/>
      <c r="M78" s="20"/>
      <c r="N78" s="20"/>
      <c r="O78" s="20"/>
      <c r="P78" s="20"/>
      <c r="Q78" s="20"/>
      <c r="R78" s="20"/>
      <c r="S78" s="20"/>
      <c r="T78" s="20"/>
      <c r="U78" s="20"/>
      <c r="V78" s="20"/>
      <c r="W78" s="25"/>
    </row>
    <row r="79" ht="15.0" customHeight="1">
      <c r="A79" s="20"/>
      <c r="B79" s="20"/>
      <c r="C79" s="63"/>
      <c r="D79" s="48"/>
      <c r="E79" s="70">
        <f>IFERROR(__xludf.DUMMYFUNCTION("""COMPUTED_VALUE"""),42663.0)</f>
        <v>42663</v>
      </c>
      <c r="F79" s="33" t="str">
        <f>IFERROR(__xludf.DUMMYFUNCTION("""COMPUTED_VALUE"""),"Clan Seasons begin")</f>
        <v>Clan Seasons begin</v>
      </c>
      <c r="G79" s="20"/>
      <c r="H79" s="20"/>
      <c r="I79" s="20"/>
      <c r="J79" s="20"/>
      <c r="K79" s="20"/>
      <c r="L79" s="20"/>
      <c r="M79" s="20"/>
      <c r="N79" s="20"/>
      <c r="O79" s="20"/>
      <c r="P79" s="20"/>
      <c r="Q79" s="20"/>
      <c r="R79" s="20"/>
      <c r="S79" s="20"/>
      <c r="T79" s="20"/>
      <c r="U79" s="20"/>
      <c r="V79" s="20"/>
      <c r="W79" s="25"/>
    </row>
    <row r="80" ht="15.0" customHeight="1">
      <c r="A80" s="20"/>
      <c r="B80" s="20"/>
      <c r="C80" s="63"/>
      <c r="D80" s="48"/>
      <c r="E80" s="70">
        <f>IFERROR(__xludf.DUMMYFUNCTION("""COMPUTED_VALUE"""),42670.0)</f>
        <v>42670</v>
      </c>
      <c r="F80" s="33" t="str">
        <f>IFERROR(__xludf.DUMMYFUNCTION("""COMPUTED_VALUE"""),"Flak Stack mechanic implemented")</f>
        <v>Flak Stack mechanic implemented</v>
      </c>
      <c r="G80" s="20"/>
      <c r="H80" s="20"/>
      <c r="I80" s="20"/>
      <c r="J80" s="20"/>
      <c r="K80" s="20"/>
      <c r="L80" s="20"/>
      <c r="M80" s="20"/>
      <c r="N80" s="20"/>
      <c r="O80" s="20"/>
      <c r="P80" s="20"/>
      <c r="Q80" s="20"/>
      <c r="R80" s="20"/>
      <c r="S80" s="20"/>
      <c r="T80" s="20"/>
      <c r="U80" s="20"/>
      <c r="V80" s="20"/>
      <c r="W80" s="25"/>
    </row>
    <row r="81" ht="15.0" customHeight="1">
      <c r="A81" s="20"/>
      <c r="B81" s="20"/>
      <c r="C81" s="64"/>
      <c r="D81" s="48"/>
      <c r="E81" s="70">
        <f>IFERROR(__xludf.DUMMYFUNCTION("""COMPUTED_VALUE"""),42684.0)</f>
        <v>42684</v>
      </c>
      <c r="F81" s="33" t="str">
        <f>IFERROR(__xludf.DUMMYFUNCTION("""COMPUTED_VALUE"""),"New Map (Vanguard's End)")</f>
        <v>New Map (Vanguard's End)</v>
      </c>
      <c r="G81" s="20"/>
      <c r="H81" s="20"/>
      <c r="I81" s="20"/>
      <c r="J81" s="20"/>
      <c r="K81" s="20"/>
      <c r="L81" s="20"/>
      <c r="M81" s="20"/>
      <c r="N81" s="20"/>
      <c r="O81" s="20"/>
      <c r="P81" s="20"/>
      <c r="Q81" s="20"/>
      <c r="R81" s="20"/>
      <c r="S81" s="20"/>
      <c r="T81" s="20"/>
      <c r="U81" s="20"/>
      <c r="V81" s="20"/>
      <c r="W81" s="25"/>
    </row>
    <row r="82" ht="15.0" customHeight="1">
      <c r="A82" s="20"/>
      <c r="B82" s="21"/>
      <c r="C82" s="54" t="str">
        <f>IFERROR(__xludf.DUMMYFUNCTION("""COMPUTED_VALUE"""),"Fast and Formidable")</f>
        <v>Fast and Formidable</v>
      </c>
      <c r="D82" s="52"/>
      <c r="E82" s="70">
        <f>IFERROR(__xludf.DUMMYFUNCTION("""COMPUTED_VALUE"""),42691.0)</f>
        <v>42691</v>
      </c>
      <c r="F82" s="67" t="str">
        <f>IFERROR(__xludf.DUMMYFUNCTION("""COMPUTED_VALUE"""),"Max Player Level (150) and CPU (1,750) increased to 10,000 and 2,000 respectively, Power Booster reworked to Weapon Energy Module with active energy restore (with percentage restored linked to CPU)")</f>
        <v>Max Player Level (150) and CPU (1,750) increased to 10,000 and 2,000 respectively, Power Booster reworked to Weapon Energy Module with active energy restore (with percentage restored linked to CPU)</v>
      </c>
      <c r="G82" s="20"/>
      <c r="H82" s="20"/>
      <c r="I82" s="20"/>
      <c r="J82" s="20"/>
      <c r="K82" s="20"/>
      <c r="L82" s="20"/>
      <c r="M82" s="20"/>
      <c r="N82" s="20"/>
      <c r="O82" s="20"/>
      <c r="P82" s="20"/>
      <c r="Q82" s="20"/>
      <c r="R82" s="20"/>
      <c r="S82" s="20"/>
      <c r="T82" s="20"/>
      <c r="U82" s="20"/>
      <c r="V82" s="20"/>
      <c r="W82" s="25"/>
    </row>
    <row r="83" ht="15.0" customHeight="1">
      <c r="A83" s="20"/>
      <c r="B83" s="21"/>
      <c r="C83" s="54" t="str">
        <f>IFERROR(__xludf.DUMMYFUNCTION("""COMPUTED_VALUE"""),"Party Matchmaking")</f>
        <v>Party Matchmaking</v>
      </c>
      <c r="D83" s="52"/>
      <c r="E83" s="70">
        <f>IFERROR(__xludf.DUMMYFUNCTION("""COMPUTED_VALUE"""),42705.0)</f>
        <v>42705</v>
      </c>
      <c r="F83" s="33" t="str">
        <f>IFERROR(__xludf.DUMMYFUNCTION("""COMPUTED_VALUE"""),"Tower spine count increased from 2 to 4, Energy/CPU curve updated")</f>
        <v>Tower spine count increased from 2 to 4, Energy/CPU curve updated</v>
      </c>
      <c r="G83" s="20"/>
      <c r="H83" s="20"/>
      <c r="I83" s="20"/>
      <c r="J83" s="20"/>
      <c r="K83" s="20"/>
      <c r="L83" s="20"/>
      <c r="M83" s="20"/>
      <c r="N83" s="20"/>
      <c r="O83" s="20"/>
      <c r="P83" s="20"/>
      <c r="Q83" s="20"/>
      <c r="R83" s="20"/>
      <c r="S83" s="20"/>
      <c r="T83" s="20"/>
      <c r="U83" s="20"/>
      <c r="V83" s="20"/>
      <c r="W83" s="25"/>
    </row>
    <row r="84" ht="15.0" customHeight="1">
      <c r="A84" s="20"/>
      <c r="B84" s="20"/>
      <c r="C84" s="65"/>
      <c r="D84" s="48"/>
      <c r="E84" s="70">
        <f>IFERROR(__xludf.DUMMYFUNCTION("""COMPUTED_VALUE"""),42718.0)</f>
        <v>42718</v>
      </c>
      <c r="F84" s="33" t="str">
        <f>IFERROR(__xludf.DUMMYFUNCTION("""COMPUTED_VALUE"""),"Brawl mode implemented, Temporary Christmas themed Hellion Crater, Pit and Elim removed")</f>
        <v>Brawl mode implemented, Temporary Christmas themed Hellion Crater, Pit and Elim removed</v>
      </c>
      <c r="G84" s="20"/>
      <c r="H84" s="20"/>
      <c r="I84" s="20"/>
      <c r="J84" s="20"/>
      <c r="K84" s="20"/>
      <c r="L84" s="20"/>
      <c r="M84" s="20"/>
      <c r="N84" s="20"/>
      <c r="O84" s="20"/>
      <c r="P84" s="20"/>
      <c r="Q84" s="20"/>
      <c r="R84" s="20"/>
      <c r="S84" s="20"/>
      <c r="T84" s="20"/>
      <c r="U84" s="20"/>
      <c r="V84" s="20"/>
      <c r="W84" s="25"/>
    </row>
    <row r="85" ht="15.0" customHeight="1">
      <c r="A85" s="20"/>
      <c r="B85" s="20"/>
      <c r="C85" s="63"/>
      <c r="D85" s="48"/>
      <c r="E85" s="70">
        <f>IFERROR(__xludf.DUMMYFUNCTION("""COMPUTED_VALUE"""),42740.0)</f>
        <v>42740</v>
      </c>
      <c r="F85" s="33" t="str">
        <f>IFERROR(__xludf.DUMMYFUNCTION("""COMPUTED_VALUE"""),"Carbon 6 Plasma and Mega Plasma added")</f>
        <v>Carbon 6 Plasma and Mega Plasma added</v>
      </c>
      <c r="G85" s="20"/>
      <c r="H85" s="20"/>
      <c r="I85" s="20"/>
      <c r="J85" s="20"/>
      <c r="K85" s="20"/>
      <c r="L85" s="20"/>
      <c r="M85" s="20"/>
      <c r="N85" s="20"/>
      <c r="O85" s="20"/>
      <c r="P85" s="20"/>
      <c r="Q85" s="20"/>
      <c r="R85" s="20"/>
      <c r="S85" s="20"/>
      <c r="T85" s="20"/>
      <c r="U85" s="20"/>
      <c r="V85" s="20"/>
      <c r="W85" s="25"/>
    </row>
    <row r="86" ht="15.0" customHeight="1">
      <c r="A86" s="20"/>
      <c r="B86" s="20"/>
      <c r="C86" s="64"/>
      <c r="D86" s="48"/>
      <c r="E86" s="70">
        <f>IFERROR(__xludf.DUMMYFUNCTION("""COMPUTED_VALUE"""),42747.0)</f>
        <v>42747</v>
      </c>
      <c r="F86" s="33" t="str">
        <f>IFERROR(__xludf.DUMMYFUNCTION("""COMPUTED_VALUE"""),"Propellers added")</f>
        <v>Propellers added</v>
      </c>
      <c r="G86" s="20"/>
      <c r="H86" s="20"/>
      <c r="I86" s="20"/>
      <c r="J86" s="20"/>
      <c r="K86" s="20"/>
      <c r="L86" s="20"/>
      <c r="M86" s="20"/>
      <c r="N86" s="20"/>
      <c r="O86" s="20"/>
      <c r="P86" s="20"/>
      <c r="Q86" s="20"/>
      <c r="R86" s="20"/>
      <c r="S86" s="20"/>
      <c r="T86" s="20"/>
      <c r="U86" s="20"/>
      <c r="V86" s="20"/>
      <c r="W86" s="25"/>
    </row>
    <row r="87" ht="15.0" customHeight="1">
      <c r="A87" s="20"/>
      <c r="B87" s="21"/>
      <c r="C87" s="54" t="str">
        <f>IFERROR(__xludf.DUMMYFUNCTION("""COMPUTED_VALUE"""),"Matchmaking Update")</f>
        <v>Matchmaking Update</v>
      </c>
      <c r="D87" s="74"/>
      <c r="E87" s="75">
        <f>IFERROR(__xludf.DUMMYFUNCTION("""COMPUTED_VALUE"""),42783.0)</f>
        <v>42783</v>
      </c>
      <c r="F87" s="33" t="str">
        <f>IFERROR(__xludf.DUMMYFUNCTION("""COMPUTED_VALUE"""),"ELO system (MMR) implemented")</f>
        <v>ELO system (MMR) implemented</v>
      </c>
      <c r="G87" s="20"/>
      <c r="H87" s="20"/>
      <c r="I87" s="20"/>
      <c r="J87" s="20"/>
      <c r="K87" s="20"/>
      <c r="L87" s="20"/>
      <c r="M87" s="20"/>
      <c r="N87" s="20"/>
      <c r="O87" s="20"/>
      <c r="P87" s="20"/>
      <c r="Q87" s="20"/>
      <c r="R87" s="20"/>
      <c r="S87" s="20"/>
      <c r="T87" s="20"/>
      <c r="U87" s="20"/>
      <c r="V87" s="20"/>
      <c r="W87" s="25"/>
    </row>
    <row r="88" ht="15.0" customHeight="1">
      <c r="A88" s="20"/>
      <c r="B88" s="21"/>
      <c r="C88" s="54" t="str">
        <f>IFERROR(__xludf.DUMMYFUNCTION("""COMPUTED_VALUE"""),"Robocraft BETA")</f>
        <v>Robocraft BETA</v>
      </c>
      <c r="D88" s="76" t="str">
        <f>IFERROR(__xludf.DUMMYFUNCTION("""COMPUTED_VALUE"""),"BA 2.0 Era")</f>
        <v>BA 2.0 Era</v>
      </c>
      <c r="E88" s="77">
        <f>IFERROR(__xludf.DUMMYFUNCTION("""COMPUTED_VALUE"""),42797.0)</f>
        <v>42797</v>
      </c>
      <c r="F88" s="33" t="str">
        <f>IFERROR(__xludf.DUMMYFUNCTION("""COMPUTED_VALUE"""),"5v5, Towers replaced with Capture Points, Map adjustments/reworks, Overclocking removed, Enemy Base Shield now impenetrable, Protonite Eruption, Nano auto-aim removed")</f>
        <v>5v5, Towers replaced with Capture Points, Map adjustments/reworks, Overclocking removed, Enemy Base Shield now impenetrable, Protonite Eruption, Nano auto-aim removed</v>
      </c>
      <c r="G88" s="20"/>
      <c r="H88" s="20"/>
      <c r="I88" s="20"/>
      <c r="J88" s="20"/>
      <c r="K88" s="20"/>
      <c r="L88" s="20"/>
      <c r="M88" s="20"/>
      <c r="N88" s="20"/>
      <c r="O88" s="20"/>
      <c r="P88" s="20"/>
      <c r="Q88" s="20"/>
      <c r="R88" s="20"/>
      <c r="S88" s="20"/>
      <c r="T88" s="20"/>
      <c r="U88" s="20"/>
      <c r="V88" s="20"/>
      <c r="W88" s="25"/>
    </row>
    <row r="89" ht="15.0" customHeight="1">
      <c r="A89" s="20"/>
      <c r="B89" s="20"/>
      <c r="C89" s="56"/>
      <c r="D89" s="78" t="str">
        <f>IFERROR(__xludf.DUMMYFUNCTION("""COMPUTED_VALUE"""),"160 Days")</f>
        <v>160 Days</v>
      </c>
      <c r="E89" s="77">
        <f>IFERROR(__xludf.DUMMYFUNCTION("""COMPUTED_VALUE"""),42816.0)</f>
        <v>42816</v>
      </c>
      <c r="F89" s="33" t="str">
        <f>IFERROR(__xludf.DUMMYFUNCTION("""COMPUTED_VALUE"""),"Hellion Crater and Gliese Lake removed from main game modes")</f>
        <v>Hellion Crater and Gliese Lake removed from main game modes</v>
      </c>
      <c r="G89" s="20"/>
      <c r="H89" s="20"/>
      <c r="I89" s="20"/>
      <c r="J89" s="20"/>
      <c r="K89" s="20"/>
      <c r="L89" s="20"/>
      <c r="M89" s="20"/>
      <c r="N89" s="20"/>
      <c r="O89" s="20"/>
      <c r="P89" s="20"/>
      <c r="Q89" s="20"/>
      <c r="R89" s="20"/>
      <c r="S89" s="20"/>
      <c r="T89" s="20"/>
      <c r="U89" s="20"/>
      <c r="V89" s="20"/>
      <c r="W89" s="25"/>
    </row>
    <row r="90" ht="15.0" customHeight="1">
      <c r="A90" s="20"/>
      <c r="B90" s="20"/>
      <c r="C90" s="63"/>
      <c r="D90" s="78" t="str">
        <f>IFERROR(__xludf.DUMMYFUNCTION("""COMPUTED_VALUE"""),"Average 14.5")</f>
        <v>Average 14.5</v>
      </c>
      <c r="E90" s="77">
        <f>IFERROR(__xludf.DUMMYFUNCTION("""COMPUTED_VALUE"""),42825.0)</f>
        <v>42825</v>
      </c>
      <c r="F90" s="33" t="str">
        <f>IFERROR(__xludf.DUMMYFUNCTION("""COMPUTED_VALUE"""),"BA split into Ranked and Unranked modes")</f>
        <v>BA split into Ranked and Unranked modes</v>
      </c>
      <c r="G90" s="20"/>
      <c r="H90" s="20"/>
      <c r="I90" s="20"/>
      <c r="J90" s="20"/>
      <c r="K90" s="20"/>
      <c r="L90" s="20"/>
      <c r="M90" s="20"/>
      <c r="N90" s="20"/>
      <c r="O90" s="20"/>
      <c r="P90" s="20"/>
      <c r="Q90" s="20"/>
      <c r="R90" s="20"/>
      <c r="S90" s="20"/>
      <c r="T90" s="20"/>
      <c r="U90" s="20"/>
      <c r="V90" s="20"/>
      <c r="W90" s="25"/>
    </row>
    <row r="91" ht="15.0" customHeight="1">
      <c r="A91" s="20"/>
      <c r="B91" s="20"/>
      <c r="C91" s="63"/>
      <c r="D91" s="48"/>
      <c r="E91" s="77">
        <f>IFERROR(__xludf.DUMMYFUNCTION("""COMPUTED_VALUE"""),42838.0)</f>
        <v>42838</v>
      </c>
      <c r="F91" s="33" t="str">
        <f>IFERROR(__xludf.DUMMYFUNCTION("""COMPUTED_VALUE"""),"Carbon 6 Large Sprinter Leg added")</f>
        <v>Carbon 6 Large Sprinter Leg added</v>
      </c>
      <c r="G91" s="20"/>
      <c r="H91" s="20"/>
      <c r="I91" s="20"/>
      <c r="J91" s="20"/>
      <c r="K91" s="20"/>
      <c r="L91" s="20"/>
      <c r="M91" s="20"/>
      <c r="N91" s="20"/>
      <c r="O91" s="20"/>
      <c r="P91" s="20"/>
      <c r="Q91" s="20"/>
      <c r="R91" s="20"/>
      <c r="S91" s="20"/>
      <c r="T91" s="20"/>
      <c r="U91" s="20"/>
      <c r="V91" s="20"/>
      <c r="W91" s="25"/>
    </row>
    <row r="92" ht="15.0" customHeight="1">
      <c r="A92" s="20"/>
      <c r="B92" s="20"/>
      <c r="C92" s="63"/>
      <c r="D92" s="48"/>
      <c r="E92" s="77">
        <f>IFERROR(__xludf.DUMMYFUNCTION("""COMPUTED_VALUE"""),42859.0)</f>
        <v>42859</v>
      </c>
      <c r="F92" s="33" t="str">
        <f>IFERROR(__xludf.DUMMYFUNCTION("""COMPUTED_VALUE"""),"Windowmaker Module and Small Chaingun added")</f>
        <v>Windowmaker Module and Small Chaingun added</v>
      </c>
      <c r="G92" s="20"/>
      <c r="H92" s="20"/>
      <c r="I92" s="20"/>
      <c r="J92" s="20"/>
      <c r="K92" s="20"/>
      <c r="L92" s="20"/>
      <c r="M92" s="20"/>
      <c r="N92" s="20"/>
      <c r="O92" s="20"/>
      <c r="P92" s="20"/>
      <c r="Q92" s="20"/>
      <c r="R92" s="20"/>
      <c r="S92" s="20"/>
      <c r="T92" s="20"/>
      <c r="U92" s="20"/>
      <c r="V92" s="20"/>
      <c r="W92" s="25"/>
    </row>
    <row r="93" ht="15.0" customHeight="1">
      <c r="A93" s="20"/>
      <c r="B93" s="20"/>
      <c r="C93" s="64"/>
      <c r="D93" s="48"/>
      <c r="E93" s="77">
        <f>IFERROR(__xludf.DUMMYFUNCTION("""COMPUTED_VALUE"""),42873.0)</f>
        <v>42873</v>
      </c>
      <c r="F93" s="33" t="str">
        <f>IFERROR(__xludf.DUMMYFUNCTION("""COMPUTED_VALUE"""),"Custom Games implemented")</f>
        <v>Custom Games implemented</v>
      </c>
      <c r="G93" s="20"/>
      <c r="H93" s="20"/>
      <c r="I93" s="20"/>
      <c r="J93" s="20"/>
      <c r="K93" s="20"/>
      <c r="L93" s="20"/>
      <c r="M93" s="20"/>
      <c r="N93" s="20"/>
      <c r="O93" s="20"/>
      <c r="P93" s="20"/>
      <c r="Q93" s="20"/>
      <c r="R93" s="20"/>
      <c r="S93" s="20"/>
      <c r="T93" s="20"/>
      <c r="U93" s="20"/>
      <c r="V93" s="20"/>
      <c r="W93" s="25"/>
    </row>
    <row r="94" ht="15.0" customHeight="1">
      <c r="A94" s="20"/>
      <c r="B94" s="21"/>
      <c r="C94" s="54" t="str">
        <f>IFERROR(__xludf.DUMMYFUNCTION("""COMPUTED_VALUE"""),"Wheely Big Update")</f>
        <v>Wheely Big Update</v>
      </c>
      <c r="D94" s="52"/>
      <c r="E94" s="77">
        <f>IFERROR(__xludf.DUMMYFUNCTION("""COMPUTED_VALUE"""),42887.0)</f>
        <v>42887</v>
      </c>
      <c r="F94" s="33" t="str">
        <f>IFERROR(__xludf.DUMMYFUNCTION("""COMPUTED_VALUE"""),"Wheel models/sizes rework, Small LOML added")</f>
        <v>Wheel models/sizes rework, Small LOML added</v>
      </c>
      <c r="G94" s="20"/>
      <c r="H94" s="20"/>
      <c r="I94" s="20"/>
      <c r="J94" s="20"/>
      <c r="K94" s="20"/>
      <c r="L94" s="20"/>
      <c r="M94" s="20"/>
      <c r="N94" s="20"/>
      <c r="O94" s="20"/>
      <c r="P94" s="20"/>
      <c r="Q94" s="20"/>
      <c r="R94" s="20"/>
      <c r="S94" s="20"/>
      <c r="T94" s="20"/>
      <c r="U94" s="20"/>
      <c r="V94" s="20"/>
      <c r="W94" s="25"/>
    </row>
    <row r="95" ht="15.0" customHeight="1">
      <c r="A95" s="20"/>
      <c r="B95" s="20"/>
      <c r="C95" s="56"/>
      <c r="D95" s="48"/>
      <c r="E95" s="77">
        <f>IFERROR(__xludf.DUMMYFUNCTION("""COMPUTED_VALUE"""),42901.0)</f>
        <v>42901</v>
      </c>
      <c r="F95" s="33" t="str">
        <f>IFERROR(__xludf.DUMMYFUNCTION("""COMPUTED_VALUE"""),"Custom Games updated, Nanos reworked (Beam replaced with projectiles)")</f>
        <v>Custom Games updated, Nanos reworked (Beam replaced with projectiles)</v>
      </c>
      <c r="G95" s="20"/>
      <c r="H95" s="20"/>
      <c r="I95" s="20"/>
      <c r="J95" s="20"/>
      <c r="K95" s="20"/>
      <c r="L95" s="20"/>
      <c r="M95" s="20"/>
      <c r="N95" s="20"/>
      <c r="O95" s="20"/>
      <c r="P95" s="20"/>
      <c r="Q95" s="20"/>
      <c r="R95" s="20"/>
      <c r="S95" s="20"/>
      <c r="T95" s="20"/>
      <c r="U95" s="20"/>
      <c r="V95" s="20"/>
      <c r="W95" s="25"/>
    </row>
    <row r="96" ht="15.0" customHeight="1">
      <c r="A96" s="20"/>
      <c r="B96" s="20"/>
      <c r="C96" s="63"/>
      <c r="D96" s="48"/>
      <c r="E96" s="77">
        <f>IFERROR(__xludf.DUMMYFUNCTION("""COMPUTED_VALUE"""),42916.0)</f>
        <v>42916</v>
      </c>
      <c r="F96" s="33" t="str">
        <f>IFERROR(__xludf.DUMMYFUNCTION("""COMPUTED_VALUE"""),"Megabots reimplemented as option in Custom Games")</f>
        <v>Megabots reimplemented as option in Custom Games</v>
      </c>
      <c r="G96" s="20"/>
      <c r="H96" s="20"/>
      <c r="I96" s="20"/>
      <c r="J96" s="20"/>
      <c r="K96" s="20"/>
      <c r="L96" s="20"/>
      <c r="M96" s="20"/>
      <c r="N96" s="20"/>
      <c r="O96" s="20"/>
      <c r="P96" s="20"/>
      <c r="Q96" s="20"/>
      <c r="R96" s="20"/>
      <c r="S96" s="20"/>
      <c r="T96" s="20"/>
      <c r="U96" s="20"/>
      <c r="V96" s="20"/>
      <c r="W96" s="25"/>
    </row>
    <row r="97" ht="15.0" customHeight="1">
      <c r="A97" s="20"/>
      <c r="B97" s="20"/>
      <c r="C97" s="63"/>
      <c r="D97" s="57"/>
      <c r="E97" s="77">
        <f>IFERROR(__xludf.DUMMYFUNCTION("""COMPUTED_VALUE"""),42929.0)</f>
        <v>42929</v>
      </c>
      <c r="F97" s="33" t="str">
        <f>IFERROR(__xludf.DUMMYFUNCTION("""COMPUTED_VALUE"""),"TX-Cubes readded, Health Boost implemented")</f>
        <v>TX-Cubes readded, Health Boost implemented</v>
      </c>
      <c r="G97" s="20"/>
      <c r="H97" s="20"/>
      <c r="I97" s="20"/>
      <c r="J97" s="20"/>
      <c r="K97" s="20"/>
      <c r="L97" s="20"/>
      <c r="M97" s="20"/>
      <c r="N97" s="20"/>
      <c r="O97" s="20"/>
      <c r="P97" s="20"/>
      <c r="Q97" s="20"/>
      <c r="R97" s="20"/>
      <c r="S97" s="20"/>
      <c r="T97" s="20"/>
      <c r="U97" s="20"/>
      <c r="V97" s="20"/>
      <c r="W97" s="25"/>
    </row>
    <row r="98" ht="15.0" customHeight="1">
      <c r="A98" s="20"/>
      <c r="B98" s="20"/>
      <c r="C98" s="79"/>
      <c r="D98" s="58"/>
      <c r="E98" s="80">
        <f>IFERROR(__xludf.DUMMYFUNCTION("""COMPUTED_VALUE"""),42943.0)</f>
        <v>42943</v>
      </c>
      <c r="F98" s="33" t="str">
        <f>IFERROR(__xludf.DUMMYFUNCTION("""COMPUTED_VALUE"""),"Wings/Rudders physics reworked, Speed Boost added")</f>
        <v>Wings/Rudders physics reworked, Speed Boost added</v>
      </c>
      <c r="G98" s="20"/>
      <c r="H98" s="20"/>
      <c r="I98" s="20"/>
      <c r="J98" s="20"/>
      <c r="K98" s="20"/>
      <c r="L98" s="20"/>
      <c r="M98" s="20"/>
      <c r="N98" s="20"/>
      <c r="O98" s="20"/>
      <c r="P98" s="20"/>
      <c r="Q98" s="20"/>
      <c r="R98" s="20"/>
      <c r="S98" s="20"/>
      <c r="T98" s="20"/>
      <c r="U98" s="20"/>
      <c r="V98" s="20"/>
      <c r="W98" s="25"/>
    </row>
    <row r="99" ht="15.0" customHeight="1">
      <c r="A99" s="20"/>
      <c r="B99" s="20"/>
      <c r="C99" s="64"/>
      <c r="D99" s="81" t="str">
        <f>IFERROR(__xludf.DUMMYFUNCTION("""COMPUTED_VALUE"""),"Boost Era")</f>
        <v>Boost Era</v>
      </c>
      <c r="E99" s="82">
        <f>IFERROR(__xludf.DUMMYFUNCTION("""COMPUTED_VALUE"""),42957.0)</f>
        <v>42957</v>
      </c>
      <c r="F99" s="33" t="str">
        <f>IFERROR(__xludf.DUMMYFUNCTION("""COMPUTED_VALUE"""),"Mega Rail and Damage Boost added, Duplicating Garage bays implemented, Mastery system implemented, All Maps size scale increase by 20%")</f>
        <v>Mega Rail and Damage Boost added, Duplicating Garage bays implemented, Mastery system implemented, All Maps size scale increase by 20%</v>
      </c>
      <c r="G99" s="20"/>
      <c r="H99" s="20"/>
      <c r="I99" s="20"/>
      <c r="J99" s="20"/>
      <c r="K99" s="20"/>
      <c r="L99" s="20"/>
      <c r="M99" s="20"/>
      <c r="N99" s="20"/>
      <c r="O99" s="20"/>
      <c r="P99" s="20"/>
      <c r="Q99" s="20"/>
      <c r="R99" s="20"/>
      <c r="S99" s="20"/>
      <c r="T99" s="20"/>
      <c r="U99" s="20"/>
      <c r="V99" s="20"/>
      <c r="W99" s="25"/>
    </row>
    <row r="100" ht="15.0" customHeight="1">
      <c r="A100" s="20"/>
      <c r="B100" s="21"/>
      <c r="C100" s="54" t="str">
        <f>IFERROR(__xludf.DUMMYFUNCTION("""COMPUTED_VALUE"""),"Robocraft 1.0")</f>
        <v>Robocraft 1.0</v>
      </c>
      <c r="D100" s="83" t="str">
        <f>IFERROR(__xludf.DUMMYFUNCTION("""COMPUTED_VALUE"""),"462 Days")</f>
        <v>462 Days</v>
      </c>
      <c r="E100" s="82">
        <f>IFERROR(__xludf.DUMMYFUNCTION("""COMPUTED_VALUE"""),42971.0)</f>
        <v>42971</v>
      </c>
      <c r="F100" s="33" t="str">
        <f>IFERROR(__xludf.DUMMYFUNCTION("""COMPUTED_VALUE"""),"Cosmetic CPU and Mask Taunts added, Commemorative cosmetic Pilot Seats awarded based on account age")</f>
        <v>Cosmetic CPU and Mask Taunts added, Commemorative cosmetic Pilot Seats awarded based on account age</v>
      </c>
      <c r="G100" s="20"/>
      <c r="H100" s="20"/>
      <c r="I100" s="20"/>
      <c r="J100" s="20"/>
      <c r="K100" s="20"/>
      <c r="L100" s="20"/>
      <c r="M100" s="20"/>
      <c r="N100" s="20"/>
      <c r="O100" s="20"/>
      <c r="P100" s="20"/>
      <c r="Q100" s="20"/>
      <c r="R100" s="20"/>
      <c r="S100" s="20"/>
      <c r="T100" s="20"/>
      <c r="U100" s="20"/>
      <c r="V100" s="20"/>
      <c r="W100" s="25"/>
    </row>
    <row r="101" ht="15.0" customHeight="1">
      <c r="A101" s="20"/>
      <c r="B101" s="20"/>
      <c r="C101" s="65"/>
      <c r="D101" s="83" t="str">
        <f>IFERROR(__xludf.DUMMYFUNCTION("""COMPUTED_VALUE"""),"Average 30.8")</f>
        <v>Average 30.8</v>
      </c>
      <c r="E101" s="82">
        <f>IFERROR(__xludf.DUMMYFUNCTION("""COMPUTED_VALUE"""),42983.0)</f>
        <v>42983</v>
      </c>
      <c r="F101" s="33" t="str">
        <f>IFERROR(__xludf.DUMMYFUNCTION("""COMPUTED_VALUE"""),"Steam achievements added")</f>
        <v>Steam achievements added</v>
      </c>
      <c r="G101" s="20"/>
      <c r="H101" s="20"/>
      <c r="I101" s="20"/>
      <c r="J101" s="20"/>
      <c r="K101" s="20"/>
      <c r="L101" s="20"/>
      <c r="M101" s="20"/>
      <c r="N101" s="20"/>
      <c r="O101" s="20"/>
      <c r="P101" s="20"/>
      <c r="Q101" s="20"/>
      <c r="R101" s="20"/>
      <c r="S101" s="20"/>
      <c r="T101" s="20"/>
      <c r="U101" s="20"/>
      <c r="V101" s="20"/>
      <c r="W101" s="25"/>
    </row>
    <row r="102" ht="15.0" customHeight="1">
      <c r="A102" s="20"/>
      <c r="B102" s="20"/>
      <c r="C102" s="63"/>
      <c r="D102" s="48"/>
      <c r="E102" s="82">
        <f>IFERROR(__xludf.DUMMYFUNCTION("""COMPUTED_VALUE"""),42992.0)</f>
        <v>42992</v>
      </c>
      <c r="F102" s="33" t="str">
        <f>IFERROR(__xludf.DUMMYFUNCTION("""COMPUTED_VALUE"""),"Damage boost curve updated")</f>
        <v>Damage boost curve updated</v>
      </c>
      <c r="G102" s="20"/>
      <c r="H102" s="20"/>
      <c r="I102" s="20"/>
      <c r="J102" s="20"/>
      <c r="K102" s="20"/>
      <c r="L102" s="20"/>
      <c r="M102" s="20"/>
      <c r="N102" s="20"/>
      <c r="O102" s="20"/>
      <c r="P102" s="20"/>
      <c r="Q102" s="20"/>
      <c r="R102" s="20"/>
      <c r="S102" s="20"/>
      <c r="T102" s="20"/>
      <c r="U102" s="20"/>
      <c r="V102" s="20"/>
      <c r="W102" s="25"/>
    </row>
    <row r="103" ht="15.0" customHeight="1">
      <c r="A103" s="20"/>
      <c r="B103" s="20"/>
      <c r="C103" s="63"/>
      <c r="D103" s="48"/>
      <c r="E103" s="82">
        <f>IFERROR(__xludf.DUMMYFUNCTION("""COMPUTED_VALUE"""),42999.0)</f>
        <v>42999</v>
      </c>
      <c r="F103" s="33" t="str">
        <f>IFERROR(__xludf.DUMMYFUNCTION("""COMPUTED_VALUE"""),"Mortar added, 'Sideways Driving' and 'Tanks turn to face camera' controls options added")</f>
        <v>Mortar added, 'Sideways Driving' and 'Tanks turn to face camera' controls options added</v>
      </c>
      <c r="G103" s="20"/>
      <c r="H103" s="20"/>
      <c r="I103" s="20"/>
      <c r="J103" s="20"/>
      <c r="K103" s="20"/>
      <c r="L103" s="20"/>
      <c r="M103" s="20"/>
      <c r="N103" s="20"/>
      <c r="O103" s="20"/>
      <c r="P103" s="20"/>
      <c r="Q103" s="20"/>
      <c r="R103" s="20"/>
      <c r="S103" s="20"/>
      <c r="T103" s="20"/>
      <c r="U103" s="20"/>
      <c r="V103" s="20"/>
      <c r="W103" s="25"/>
    </row>
    <row r="104" ht="15.0" customHeight="1">
      <c r="A104" s="20"/>
      <c r="B104" s="20"/>
      <c r="C104" s="63"/>
      <c r="D104" s="48"/>
      <c r="E104" s="82">
        <f>IFERROR(__xludf.DUMMYFUNCTION("""COMPUTED_VALUE"""),43028.0)</f>
        <v>43028</v>
      </c>
      <c r="F104" s="33" t="str">
        <f>IFERROR(__xludf.DUMMYFUNCTION("""COMPUTED_VALUE"""),"Spider Cosmetic of Large Insect Leg added")</f>
        <v>Spider Cosmetic of Large Insect Leg added</v>
      </c>
      <c r="G104" s="20"/>
      <c r="H104" s="20"/>
      <c r="I104" s="20"/>
      <c r="J104" s="20"/>
      <c r="K104" s="20"/>
      <c r="L104" s="20"/>
      <c r="M104" s="20"/>
      <c r="N104" s="20"/>
      <c r="O104" s="20"/>
      <c r="P104" s="20"/>
      <c r="Q104" s="20"/>
      <c r="R104" s="20"/>
      <c r="S104" s="20"/>
      <c r="T104" s="20"/>
      <c r="U104" s="20"/>
      <c r="V104" s="20"/>
      <c r="W104" s="25"/>
    </row>
    <row r="105" ht="15.0" customHeight="1">
      <c r="A105" s="20"/>
      <c r="B105" s="20"/>
      <c r="C105" s="63"/>
      <c r="D105" s="48"/>
      <c r="E105" s="82">
        <f>IFERROR(__xludf.DUMMYFUNCTION("""COMPUTED_VALUE"""),43055.0)</f>
        <v>43055</v>
      </c>
      <c r="F105" s="33" t="str">
        <f>IFERROR(__xludf.DUMMYFUNCTION("""COMPUTED_VALUE"""),"Bot Body Builder system implemented, Undo added to Edit mode")</f>
        <v>Bot Body Builder system implemented, Undo added to Edit mode</v>
      </c>
      <c r="G105" s="20"/>
      <c r="H105" s="20"/>
      <c r="I105" s="20"/>
      <c r="J105" s="20"/>
      <c r="K105" s="20"/>
      <c r="L105" s="20"/>
      <c r="M105" s="20"/>
      <c r="N105" s="20"/>
      <c r="O105" s="20"/>
      <c r="P105" s="20"/>
      <c r="Q105" s="20"/>
      <c r="R105" s="20"/>
      <c r="S105" s="20"/>
      <c r="T105" s="20"/>
      <c r="U105" s="20"/>
      <c r="V105" s="20"/>
      <c r="W105" s="25"/>
    </row>
    <row r="106" ht="15.0" customHeight="1">
      <c r="A106" s="20"/>
      <c r="B106" s="20"/>
      <c r="C106" s="63"/>
      <c r="D106" s="48"/>
      <c r="E106" s="82">
        <f>IFERROR(__xludf.DUMMYFUNCTION("""COMPUTED_VALUE"""),43070.0)</f>
        <v>43070</v>
      </c>
      <c r="F106" s="33" t="str">
        <f>IFERROR(__xludf.DUMMYFUNCTION("""COMPUTED_VALUE"""),"Damage boost curve updated")</f>
        <v>Damage boost curve updated</v>
      </c>
      <c r="G106" s="20"/>
      <c r="H106" s="20"/>
      <c r="I106" s="20"/>
      <c r="J106" s="20"/>
      <c r="K106" s="20"/>
      <c r="L106" s="20"/>
      <c r="M106" s="20"/>
      <c r="N106" s="20"/>
      <c r="O106" s="20"/>
      <c r="P106" s="20"/>
      <c r="Q106" s="20"/>
      <c r="R106" s="20"/>
      <c r="S106" s="20"/>
      <c r="T106" s="20"/>
      <c r="U106" s="20"/>
      <c r="V106" s="20"/>
      <c r="W106" s="25"/>
    </row>
    <row r="107" ht="15.0" customHeight="1">
      <c r="A107" s="20"/>
      <c r="B107" s="20"/>
      <c r="C107" s="63"/>
      <c r="D107" s="48"/>
      <c r="E107" s="82">
        <f>IFERROR(__xludf.DUMMYFUNCTION("""COMPUTED_VALUE"""),43202.0)</f>
        <v>43202</v>
      </c>
      <c r="F107" s="33" t="str">
        <f>IFERROR(__xludf.DUMMYFUNCTION("""COMPUTED_VALUE"""),"Reconnect feature implemented")</f>
        <v>Reconnect feature implemented</v>
      </c>
      <c r="G107" s="20"/>
      <c r="H107" s="20"/>
      <c r="I107" s="20"/>
      <c r="J107" s="20"/>
      <c r="K107" s="20"/>
      <c r="L107" s="20"/>
      <c r="M107" s="20"/>
      <c r="N107" s="20"/>
      <c r="O107" s="20"/>
      <c r="P107" s="20"/>
      <c r="Q107" s="20"/>
      <c r="R107" s="20"/>
      <c r="S107" s="20"/>
      <c r="T107" s="20"/>
      <c r="U107" s="20"/>
      <c r="V107" s="20"/>
      <c r="W107" s="25"/>
    </row>
    <row r="108" ht="15.0" customHeight="1">
      <c r="A108" s="20"/>
      <c r="B108" s="20"/>
      <c r="C108" s="63"/>
      <c r="D108" s="48"/>
      <c r="E108" s="82">
        <f>IFERROR(__xludf.DUMMYFUNCTION("""COMPUTED_VALUE"""),43237.0)</f>
        <v>43237</v>
      </c>
      <c r="F108" s="33" t="str">
        <f>IFERROR(__xludf.DUMMYFUNCTION("""COMPUTED_VALUE"""),"Cosmetic Credits and Quests added, all non-battle Crates removed")</f>
        <v>Cosmetic Credits and Quests added, all non-battle Crates removed</v>
      </c>
      <c r="G108" s="20"/>
      <c r="H108" s="20"/>
      <c r="I108" s="20"/>
      <c r="J108" s="20"/>
      <c r="K108" s="20"/>
      <c r="L108" s="20"/>
      <c r="M108" s="20"/>
      <c r="N108" s="20"/>
      <c r="O108" s="20"/>
      <c r="P108" s="20"/>
      <c r="Q108" s="20"/>
      <c r="R108" s="20"/>
      <c r="S108" s="20"/>
      <c r="T108" s="20"/>
      <c r="U108" s="20"/>
      <c r="V108" s="20"/>
      <c r="W108" s="25"/>
    </row>
    <row r="109" ht="15.0" customHeight="1">
      <c r="A109" s="20"/>
      <c r="B109" s="20"/>
      <c r="C109" s="63"/>
      <c r="D109" s="48"/>
      <c r="E109" s="82">
        <f>IFERROR(__xludf.DUMMYFUNCTION("""COMPUTED_VALUE"""),43270.0)</f>
        <v>43270</v>
      </c>
      <c r="F109" s="33" t="str">
        <f>IFERROR(__xludf.DUMMYFUNCTION("""COMPUTED_VALUE"""),"Tech Tree and Tech Points readded, remaining Crate sources removed, Robit rewards from battle readded,  ")</f>
        <v>Tech Tree and Tech Points readded, remaining Crate sources removed, Robit rewards from battle readded,  </v>
      </c>
      <c r="G109" s="20"/>
      <c r="H109" s="20"/>
      <c r="I109" s="20"/>
      <c r="J109" s="20"/>
      <c r="K109" s="20"/>
      <c r="L109" s="20"/>
      <c r="M109" s="20"/>
      <c r="N109" s="20"/>
      <c r="O109" s="20"/>
      <c r="P109" s="20"/>
      <c r="Q109" s="20"/>
      <c r="R109" s="20"/>
      <c r="S109" s="20"/>
      <c r="T109" s="20"/>
      <c r="U109" s="20"/>
      <c r="V109" s="20"/>
      <c r="W109" s="25"/>
    </row>
    <row r="110" ht="15.0" customHeight="1">
      <c r="A110" s="20"/>
      <c r="B110" s="20"/>
      <c r="C110" s="63"/>
      <c r="D110" s="48"/>
      <c r="E110" s="82">
        <f>IFERROR(__xludf.DUMMYFUNCTION("""COMPUTED_VALUE"""),43306.0)</f>
        <v>43306</v>
      </c>
      <c r="F110" s="33" t="str">
        <f>IFERROR(__xludf.DUMMYFUNCTION("""COMPUTED_VALUE"""),"Build mode XP added, Mastery system removed")</f>
        <v>Build mode XP added, Mastery system removed</v>
      </c>
      <c r="G110" s="20"/>
      <c r="H110" s="20"/>
      <c r="I110" s="20"/>
      <c r="J110" s="20"/>
      <c r="K110" s="20"/>
      <c r="L110" s="20"/>
      <c r="M110" s="20"/>
      <c r="N110" s="20"/>
      <c r="O110" s="20"/>
      <c r="P110" s="20"/>
      <c r="Q110" s="20"/>
      <c r="R110" s="20"/>
      <c r="S110" s="20"/>
      <c r="T110" s="20"/>
      <c r="U110" s="20"/>
      <c r="V110" s="20"/>
      <c r="W110" s="25"/>
    </row>
    <row r="111" ht="15.0" customHeight="1">
      <c r="A111" s="20"/>
      <c r="B111" s="20"/>
      <c r="C111" s="63"/>
      <c r="D111" s="48"/>
      <c r="E111" s="82">
        <f>IFERROR(__xludf.DUMMYFUNCTION("""COMPUTED_VALUE"""),43356.0)</f>
        <v>43356</v>
      </c>
      <c r="F111" s="33" t="str">
        <f>IFERROR(__xludf.DUMMYFUNCTION("""COMPUTED_VALUE"""),"Light Cubes, Heavy Cubes and new Rod shapes added")</f>
        <v>Light Cubes, Heavy Cubes and new Rod shapes added</v>
      </c>
      <c r="G111" s="20"/>
      <c r="H111" s="20"/>
      <c r="I111" s="20"/>
      <c r="J111" s="20"/>
      <c r="K111" s="20"/>
      <c r="L111" s="20"/>
      <c r="M111" s="20"/>
      <c r="N111" s="20"/>
      <c r="O111" s="20"/>
      <c r="P111" s="20"/>
      <c r="Q111" s="20"/>
      <c r="R111" s="20"/>
      <c r="S111" s="20"/>
      <c r="T111" s="20"/>
      <c r="U111" s="20"/>
      <c r="V111" s="20"/>
      <c r="W111" s="25"/>
    </row>
    <row r="112" ht="15.0" customHeight="1">
      <c r="A112" s="20"/>
      <c r="B112" s="20"/>
      <c r="C112" s="63"/>
      <c r="D112" s="48"/>
      <c r="E112" s="82">
        <f>IFERROR(__xludf.DUMMYFUNCTION("""COMPUTED_VALUE"""),43376.0)</f>
        <v>43376</v>
      </c>
      <c r="F112" s="33" t="str">
        <f>IFERROR(__xludf.DUMMYFUNCTION("""COMPUTED_VALUE"""),"Cardboard Parts added")</f>
        <v>Cardboard Parts added</v>
      </c>
      <c r="G112" s="20"/>
      <c r="H112" s="20"/>
      <c r="I112" s="20"/>
      <c r="J112" s="20"/>
      <c r="K112" s="20"/>
      <c r="L112" s="20"/>
      <c r="M112" s="20"/>
      <c r="N112" s="20"/>
      <c r="O112" s="20"/>
      <c r="P112" s="20"/>
      <c r="Q112" s="20"/>
      <c r="R112" s="20"/>
      <c r="S112" s="20"/>
      <c r="T112" s="20"/>
      <c r="U112" s="20"/>
      <c r="V112" s="20"/>
      <c r="W112" s="25"/>
    </row>
    <row r="113" ht="15.0" customHeight="1">
      <c r="A113" s="20"/>
      <c r="B113" s="20"/>
      <c r="C113" s="64"/>
      <c r="D113" s="58"/>
      <c r="E113" s="82">
        <f>IFERROR(__xludf.DUMMYFUNCTION("""COMPUTED_VALUE"""),43384.0)</f>
        <v>43384</v>
      </c>
      <c r="F113" s="33" t="str">
        <f>IFERROR(__xludf.DUMMYFUNCTION("""COMPUTED_VALUE"""),"Singleplayer Campaign challenges added")</f>
        <v>Singleplayer Campaign challenges added</v>
      </c>
      <c r="G113" s="20"/>
      <c r="H113" s="20"/>
      <c r="I113" s="20"/>
      <c r="J113" s="20"/>
      <c r="K113" s="20"/>
      <c r="L113" s="20"/>
      <c r="M113" s="20"/>
      <c r="N113" s="20"/>
      <c r="O113" s="20"/>
      <c r="P113" s="20"/>
      <c r="Q113" s="20"/>
      <c r="R113" s="20"/>
      <c r="S113" s="20"/>
      <c r="T113" s="20"/>
      <c r="U113" s="20"/>
      <c r="V113" s="20"/>
      <c r="W113" s="25"/>
    </row>
    <row r="114" ht="15.0" customHeight="1">
      <c r="A114" s="20"/>
      <c r="B114" s="21"/>
      <c r="C114" s="54" t="str">
        <f>IFERROR(__xludf.DUMMYFUNCTION("""COMPUTED_VALUE"""),"Infinity Update")</f>
        <v>Infinity Update</v>
      </c>
      <c r="D114" s="84" t="str">
        <f>IFERROR(__xludf.DUMMYFUNCTION("""COMPUTED_VALUE"""),"Infinity Era")</f>
        <v>Infinity Era</v>
      </c>
      <c r="E114" s="85">
        <f>IFERROR(__xludf.DUMMYFUNCTION("""COMPUTED_VALUE"""),43419.0)</f>
        <v>43419</v>
      </c>
      <c r="F114" s="33" t="str">
        <f>IFERROR(__xludf.DUMMYFUNCTION("""COMPUTED_VALUE"""),"Infinite Parts, Gold Parts added, 5 Tiers readded, More Strut shapes added, Robot Ranking readded, More Paint colors added, AI's quietly added to matches")</f>
        <v>Infinite Parts, Gold Parts added, 5 Tiers readded, More Strut shapes added, Robot Ranking readded, More Paint colors added, AI's quietly added to matches</v>
      </c>
      <c r="G114" s="20"/>
      <c r="H114" s="20"/>
      <c r="I114" s="20"/>
      <c r="J114" s="20"/>
      <c r="K114" s="20"/>
      <c r="L114" s="20"/>
      <c r="M114" s="20"/>
      <c r="N114" s="20"/>
      <c r="O114" s="20"/>
      <c r="P114" s="20"/>
      <c r="Q114" s="20"/>
      <c r="R114" s="20"/>
      <c r="S114" s="20"/>
      <c r="T114" s="20"/>
      <c r="U114" s="20"/>
      <c r="V114" s="20"/>
      <c r="W114" s="25"/>
    </row>
    <row r="115" ht="15.0" customHeight="1">
      <c r="A115" s="20"/>
      <c r="B115" s="21"/>
      <c r="C115" s="54" t="str">
        <f>IFERROR(__xludf.DUMMYFUNCTION("""COMPUTED_VALUE"""),"RoboPass Season 1")</f>
        <v>RoboPass Season 1</v>
      </c>
      <c r="D115" s="86" t="str">
        <f>IFERROR(__xludf.DUMMYFUNCTION("""COMPUTED_VALUE"""),"215 Days")</f>
        <v>215 Days</v>
      </c>
      <c r="E115" s="87">
        <f>IFERROR(__xludf.DUMMYFUNCTION("""COMPUTED_VALUE"""),43453.0)</f>
        <v>43453</v>
      </c>
      <c r="F115" s="33" t="str">
        <f>IFERROR(__xludf.DUMMYFUNCTION("""COMPUTED_VALUE"""),"Many cosmetics (including Fairy Lights) added, Boosts system removed")</f>
        <v>Many cosmetics (including Fairy Lights) added, Boosts system removed</v>
      </c>
      <c r="G115" s="20"/>
      <c r="H115" s="20"/>
      <c r="I115" s="20"/>
      <c r="J115" s="20"/>
      <c r="K115" s="20"/>
      <c r="L115" s="20"/>
      <c r="M115" s="20"/>
      <c r="N115" s="20"/>
      <c r="O115" s="20"/>
      <c r="P115" s="20"/>
      <c r="Q115" s="20"/>
      <c r="R115" s="20"/>
      <c r="S115" s="20"/>
      <c r="T115" s="20"/>
      <c r="U115" s="20"/>
      <c r="V115" s="20"/>
      <c r="W115" s="25"/>
    </row>
    <row r="116" ht="15.0" customHeight="1">
      <c r="A116" s="20"/>
      <c r="B116" s="20"/>
      <c r="C116" s="73"/>
      <c r="D116" s="86" t="str">
        <f>IFERROR(__xludf.DUMMYFUNCTION("""COMPUTED_VALUE"""),"Average 35.8")</f>
        <v>Average 35.8</v>
      </c>
      <c r="E116" s="87">
        <f>IFERROR(__xludf.DUMMYFUNCTION("""COMPUTED_VALUE"""),43510.0)</f>
        <v>43510</v>
      </c>
      <c r="F116" s="33" t="str">
        <f>IFERROR(__xludf.DUMMYFUNCTION("""COMPUTED_VALUE"""),"F=ma Agility implemented for Sprinters/Mechs/Hovers/Rotors/Thrusters/Propellers, Garage bays require purchasable max CPU upgrades, Cosmetic Credits renamed to Cosmic Credits")</f>
        <v>F=ma Agility implemented for Sprinters/Mechs/Hovers/Rotors/Thrusters/Propellers, Garage bays require purchasable max CPU upgrades, Cosmetic Credits renamed to Cosmic Credits</v>
      </c>
      <c r="G116" s="20"/>
      <c r="H116" s="20"/>
      <c r="I116" s="20"/>
      <c r="J116" s="20"/>
      <c r="K116" s="20"/>
      <c r="L116" s="20"/>
      <c r="M116" s="20"/>
      <c r="N116" s="20"/>
      <c r="O116" s="20"/>
      <c r="P116" s="20"/>
      <c r="Q116" s="20"/>
      <c r="R116" s="20"/>
      <c r="S116" s="20"/>
      <c r="T116" s="20"/>
      <c r="U116" s="20"/>
      <c r="V116" s="20"/>
      <c r="W116" s="25"/>
    </row>
    <row r="117" ht="15.0" customHeight="1">
      <c r="A117" s="20"/>
      <c r="B117" s="21"/>
      <c r="C117" s="54" t="str">
        <f>IFERROR(__xludf.DUMMYFUNCTION("""COMPUTED_VALUE"""),"Rise up Ranks")</f>
        <v>Rise up Ranks</v>
      </c>
      <c r="D117" s="52"/>
      <c r="E117" s="87">
        <f>IFERROR(__xludf.DUMMYFUNCTION("""COMPUTED_VALUE"""),43531.0)</f>
        <v>43531</v>
      </c>
      <c r="F117" s="33" t="str">
        <f>IFERROR(__xludf.DUMMYFUNCTION("""COMPUTED_VALUE"""),"F=ma Agility implemented for Wings/Rudders/Tanks/Insects/Wheels, Weapon Ranking system implemeted, Leaderboards for Ranking and Rating added, Name Change now possible, Maximum Loadout reduced from 5 to 3")</f>
        <v>F=ma Agility implemented for Wings/Rudders/Tanks/Insects/Wheels, Weapon Ranking system implemeted, Leaderboards for Ranking and Rating added, Name Change now possible, Maximum Loadout reduced from 5 to 3</v>
      </c>
      <c r="G117" s="20"/>
      <c r="H117" s="20"/>
      <c r="I117" s="20"/>
      <c r="J117" s="20"/>
      <c r="K117" s="20"/>
      <c r="L117" s="20"/>
      <c r="M117" s="20"/>
      <c r="N117" s="20"/>
      <c r="O117" s="20"/>
      <c r="P117" s="20"/>
      <c r="Q117" s="20"/>
      <c r="R117" s="20"/>
      <c r="S117" s="20"/>
      <c r="T117" s="20"/>
      <c r="U117" s="20"/>
      <c r="V117" s="20"/>
      <c r="W117" s="25"/>
    </row>
    <row r="118" ht="15.0" customHeight="1">
      <c r="A118" s="20"/>
      <c r="B118" s="21"/>
      <c r="C118" s="54" t="str">
        <f>IFERROR(__xludf.DUMMYFUNCTION("""COMPUTED_VALUE"""),"RoboPass Season 2")</f>
        <v>RoboPass Season 2</v>
      </c>
      <c r="D118" s="52"/>
      <c r="E118" s="87">
        <f>IFERROR(__xludf.DUMMYFUNCTION("""COMPUTED_VALUE"""),43552.0)</f>
        <v>43552</v>
      </c>
      <c r="F118" s="33" t="str">
        <f>IFERROR(__xludf.DUMMYFUNCTION("""COMPUTED_VALUE"""),"Many cosmetics (Including Egg Mortar) added, Emotes added, Short Diagonal Struts added")</f>
        <v>Many cosmetics (Including Egg Mortar) added, Emotes added, Short Diagonal Struts added</v>
      </c>
      <c r="G118" s="20"/>
      <c r="H118" s="20"/>
      <c r="I118" s="20"/>
      <c r="J118" s="20"/>
      <c r="K118" s="20"/>
      <c r="L118" s="20"/>
      <c r="M118" s="20"/>
      <c r="N118" s="20"/>
      <c r="O118" s="20"/>
      <c r="P118" s="20"/>
      <c r="Q118" s="20"/>
      <c r="R118" s="20"/>
      <c r="S118" s="20"/>
      <c r="T118" s="20"/>
      <c r="U118" s="20"/>
      <c r="V118" s="20"/>
      <c r="W118" s="25"/>
    </row>
    <row r="119" ht="15.0" customHeight="1">
      <c r="A119" s="20"/>
      <c r="B119" s="21"/>
      <c r="C119" s="54" t="str">
        <f>IFERROR(__xludf.DUMMYFUNCTION("""COMPUTED_VALUE"""),"Plan Adapt Eliminate")</f>
        <v>Plan Adapt Eliminate</v>
      </c>
      <c r="D119" s="74"/>
      <c r="E119" s="88">
        <f>IFERROR(__xludf.DUMMYFUNCTION("""COMPUTED_VALUE"""),43602.0)</f>
        <v>43602</v>
      </c>
      <c r="F119" s="33" t="str">
        <f>IFERROR(__xludf.DUMMYFUNCTION("""COMPUTED_VALUE"""),"Weather and planet specific Gravity added, Elim mode readded (with Gliese as a map option), Rotating game mode system implemented, Hellion Crater readded")</f>
        <v>Weather and planet specific Gravity added, Elim mode readded (with Gliese as a map option), Rotating game mode system implemented, Hellion Crater readded</v>
      </c>
      <c r="G119" s="20"/>
      <c r="H119" s="20"/>
      <c r="I119" s="20"/>
      <c r="J119" s="20"/>
      <c r="K119" s="20"/>
      <c r="L119" s="20"/>
      <c r="M119" s="20"/>
      <c r="N119" s="20"/>
      <c r="O119" s="20"/>
      <c r="P119" s="20"/>
      <c r="Q119" s="20"/>
      <c r="R119" s="20"/>
      <c r="S119" s="20"/>
      <c r="T119" s="20"/>
      <c r="U119" s="20"/>
      <c r="V119" s="20"/>
      <c r="W119" s="25"/>
    </row>
    <row r="120" ht="15.0" customHeight="1">
      <c r="A120" s="20"/>
      <c r="B120" s="20"/>
      <c r="C120" s="65"/>
      <c r="D120" s="89" t="str">
        <f>IFERROR(__xludf.DUMMYFUNCTION("""COMPUTED_VALUE"""),"Official Epoch Ends")</f>
        <v>Official Epoch Ends</v>
      </c>
      <c r="E120" s="90">
        <f>IFERROR(__xludf.DUMMYFUNCTION("""COMPUTED_VALUE"""),43634.0)</f>
        <v>43634</v>
      </c>
      <c r="F120" s="33" t="str">
        <f>IFERROR(__xludf.DUMMYFUNCTION("""COMPUTED_VALUE"""),"Official Robocraft development ceases, Only Maintenance and Balance changes from here on")</f>
        <v>Official Robocraft development ceases, Only Maintenance and Balance changes from here on</v>
      </c>
      <c r="G120" s="20"/>
      <c r="H120" s="20"/>
      <c r="I120" s="20"/>
      <c r="J120" s="20"/>
      <c r="K120" s="20"/>
      <c r="L120" s="20"/>
      <c r="M120" s="20"/>
      <c r="N120" s="20"/>
      <c r="O120" s="20"/>
      <c r="P120" s="20"/>
      <c r="Q120" s="20"/>
      <c r="R120" s="20"/>
      <c r="S120" s="20"/>
      <c r="T120" s="20"/>
      <c r="U120" s="20"/>
      <c r="V120" s="20"/>
      <c r="W120" s="25"/>
    </row>
    <row r="121" ht="15.0" customHeight="1">
      <c r="A121" s="20"/>
      <c r="B121" s="20"/>
      <c r="C121" s="91"/>
      <c r="D121" s="92" t="str">
        <f>IFERROR(__xludf.DUMMYFUNCTION("""COMPUTED_VALUE"""),"2294 Days")</f>
        <v>2294 Days</v>
      </c>
      <c r="E121" s="93">
        <f>IFERROR(__xludf.DUMMYFUNCTION("""COMPUTED_VALUE"""),43658.0)</f>
        <v>43658</v>
      </c>
      <c r="F121" s="33" t="str">
        <f>IFERROR(__xludf.DUMMYFUNCTION("""COMPUTED_VALUE"""),"Robocraft Forums shut down")</f>
        <v>Robocraft Forums shut down</v>
      </c>
      <c r="G121" s="20"/>
      <c r="H121" s="20"/>
      <c r="I121" s="20"/>
      <c r="J121" s="20"/>
      <c r="K121" s="20"/>
      <c r="L121" s="20"/>
      <c r="M121" s="20"/>
      <c r="N121" s="20"/>
      <c r="O121" s="20"/>
      <c r="P121" s="20"/>
      <c r="Q121" s="20"/>
      <c r="R121" s="20"/>
      <c r="S121" s="20"/>
      <c r="T121" s="20"/>
      <c r="U121" s="20"/>
      <c r="V121" s="20"/>
      <c r="W121" s="25"/>
    </row>
    <row r="122" ht="15.0" customHeight="1">
      <c r="A122" s="20"/>
      <c r="B122" s="21"/>
      <c r="C122" s="94" t="str">
        <f>IFERROR(__xludf.DUMMYFUNCTION("""COMPUTED_VALUE"""),"Balance Patch Discord")</f>
        <v>Balance Patch Discord</v>
      </c>
      <c r="D122" s="95" t="str">
        <f>IFERROR(__xludf.DUMMYFUNCTION("""COMPUTED_VALUE"""),"Community Era")</f>
        <v>Community Era</v>
      </c>
      <c r="E122" s="96">
        <f>IFERROR(__xludf.DUMMYFUNCTION("""COMPUTED_VALUE"""),44005.0)</f>
        <v>44005</v>
      </c>
      <c r="F122" s="33" t="str">
        <f>IFERROR(__xludf.DUMMYFUNCTION("""COMPUTED_VALUE"""),"1st 100% Community driven Balance Patch")</f>
        <v>1st 100% Community driven Balance Patch</v>
      </c>
      <c r="G122" s="20"/>
      <c r="H122" s="20"/>
      <c r="I122" s="20"/>
      <c r="J122" s="20"/>
      <c r="K122" s="20"/>
      <c r="L122" s="20"/>
      <c r="M122" s="20"/>
      <c r="N122" s="20"/>
      <c r="O122" s="20"/>
      <c r="P122" s="20"/>
      <c r="Q122" s="20"/>
      <c r="R122" s="20"/>
      <c r="S122" s="20"/>
      <c r="T122" s="20"/>
      <c r="U122" s="20"/>
      <c r="V122" s="20"/>
      <c r="W122" s="25"/>
    </row>
    <row r="123" ht="15.0" customHeight="1">
      <c r="A123" s="20"/>
      <c r="B123" s="20"/>
      <c r="C123" s="65"/>
      <c r="D123" s="97" t="str">
        <f>IFERROR(__xludf.DUMMYFUNCTION("""COMPUTED_VALUE"""),"1240 Days")</f>
        <v>1240 Days</v>
      </c>
      <c r="E123" s="98">
        <f>IFERROR(__xludf.DUMMYFUNCTION("""COMPUTED_VALUE"""),44214.0)</f>
        <v>44214</v>
      </c>
      <c r="F123" s="33" t="str">
        <f>IFERROR(__xludf.DUMMYFUNCTION("""COMPUTED_VALUE"""),"Community Balance Patch 2.0")</f>
        <v>Community Balance Patch 2.0</v>
      </c>
      <c r="G123" s="20"/>
      <c r="H123" s="20"/>
      <c r="I123" s="20"/>
      <c r="J123" s="20"/>
      <c r="K123" s="20"/>
      <c r="L123" s="20"/>
      <c r="M123" s="20"/>
      <c r="N123" s="20"/>
      <c r="O123" s="20"/>
      <c r="P123" s="20"/>
      <c r="Q123" s="20"/>
      <c r="R123" s="20"/>
      <c r="S123" s="20"/>
      <c r="T123" s="20"/>
      <c r="U123" s="20"/>
      <c r="V123" s="20"/>
      <c r="W123" s="25"/>
    </row>
    <row r="124" ht="15.0" customHeight="1">
      <c r="A124" s="20"/>
      <c r="B124" s="20"/>
      <c r="C124" s="63"/>
      <c r="D124" s="97" t="str">
        <f>IFERROR(__xludf.DUMMYFUNCTION("""COMPUTED_VALUE"""),"Average 103.8")</f>
        <v>Average 103.8</v>
      </c>
      <c r="E124" s="96">
        <f>IFERROR(__xludf.DUMMYFUNCTION("""COMPUTED_VALUE"""),44217.0)</f>
        <v>44217</v>
      </c>
      <c r="F124" s="33" t="str">
        <f>IFERROR(__xludf.DUMMYFUNCTION("""COMPUTED_VALUE"""),"Community Balance Patch 2.1 Hotfix")</f>
        <v>Community Balance Patch 2.1 Hotfix</v>
      </c>
      <c r="G124" s="20"/>
      <c r="H124" s="20"/>
      <c r="I124" s="20"/>
      <c r="J124" s="20"/>
      <c r="K124" s="20"/>
      <c r="L124" s="20"/>
      <c r="M124" s="20"/>
      <c r="N124" s="20"/>
      <c r="O124" s="20"/>
      <c r="P124" s="20"/>
      <c r="Q124" s="20"/>
      <c r="R124" s="20"/>
      <c r="S124" s="20"/>
      <c r="T124" s="20"/>
      <c r="U124" s="20"/>
      <c r="V124" s="20"/>
      <c r="W124" s="25"/>
    </row>
    <row r="125" ht="15.0" customHeight="1">
      <c r="A125" s="20"/>
      <c r="B125" s="20"/>
      <c r="C125" s="63"/>
      <c r="D125" s="48"/>
      <c r="E125" s="96">
        <f>IFERROR(__xludf.DUMMYFUNCTION("""COMPUTED_VALUE"""),44266.0)</f>
        <v>44266</v>
      </c>
      <c r="F125" s="33" t="str">
        <f>IFERROR(__xludf.DUMMYFUNCTION("""COMPUTED_VALUE"""),"OVH Fire Catastrophe, Dev server environment lost. New game builds no longer possible. Only Server side changes from now on")</f>
        <v>OVH Fire Catastrophe, Dev server environment lost. New game builds no longer possible. Only Server side changes from now on</v>
      </c>
      <c r="G125" s="20"/>
      <c r="H125" s="20"/>
      <c r="I125" s="20"/>
      <c r="J125" s="20"/>
      <c r="K125" s="20"/>
      <c r="L125" s="20"/>
      <c r="M125" s="20"/>
      <c r="N125" s="20"/>
      <c r="O125" s="20"/>
      <c r="P125" s="20"/>
      <c r="Q125" s="20"/>
      <c r="R125" s="20"/>
      <c r="S125" s="20"/>
      <c r="T125" s="20"/>
      <c r="U125" s="20"/>
      <c r="V125" s="20"/>
      <c r="W125" s="25"/>
    </row>
    <row r="126" ht="15.0" customHeight="1">
      <c r="A126" s="20"/>
      <c r="B126" s="20"/>
      <c r="C126" s="63"/>
      <c r="D126" s="48"/>
      <c r="E126" s="96">
        <f>IFERROR(__xludf.DUMMYFUNCTION("""COMPUTED_VALUE"""),44525.0)</f>
        <v>44525</v>
      </c>
      <c r="F126" s="33" t="str">
        <f>IFERROR(__xludf.DUMMYFUNCTION("""COMPUTED_VALUE"""),"Community Balance Patch 3.0")</f>
        <v>Community Balance Patch 3.0</v>
      </c>
      <c r="G126" s="20"/>
      <c r="H126" s="20"/>
      <c r="I126" s="20"/>
      <c r="J126" s="20"/>
      <c r="K126" s="20"/>
      <c r="L126" s="20"/>
      <c r="M126" s="20"/>
      <c r="N126" s="20"/>
      <c r="O126" s="20"/>
      <c r="P126" s="20"/>
      <c r="Q126" s="20"/>
      <c r="R126" s="20"/>
      <c r="S126" s="20"/>
      <c r="T126" s="20"/>
      <c r="U126" s="20"/>
      <c r="V126" s="20"/>
      <c r="W126" s="25"/>
    </row>
    <row r="127" ht="15.0" customHeight="1">
      <c r="A127" s="20"/>
      <c r="B127" s="20"/>
      <c r="C127" s="63"/>
      <c r="D127" s="48"/>
      <c r="E127" s="96">
        <f>IFERROR(__xludf.DUMMYFUNCTION("""COMPUTED_VALUE"""),44588.0)</f>
        <v>44588</v>
      </c>
      <c r="F127" s="33" t="str">
        <f>IFERROR(__xludf.DUMMYFUNCTION("""COMPUTED_VALUE"""),"Community Balance Patch 3.1 Hotfix")</f>
        <v>Community Balance Patch 3.1 Hotfix</v>
      </c>
      <c r="G127" s="20"/>
      <c r="H127" s="20"/>
      <c r="I127" s="20"/>
      <c r="J127" s="20"/>
      <c r="K127" s="20"/>
      <c r="L127" s="20"/>
      <c r="M127" s="20"/>
      <c r="N127" s="20"/>
      <c r="O127" s="20"/>
      <c r="P127" s="20"/>
      <c r="Q127" s="20"/>
      <c r="R127" s="20"/>
      <c r="S127" s="20"/>
      <c r="T127" s="20"/>
      <c r="U127" s="20"/>
      <c r="V127" s="20"/>
      <c r="W127" s="25"/>
    </row>
    <row r="128" ht="15.0" customHeight="1">
      <c r="A128" s="20"/>
      <c r="B128" s="20"/>
      <c r="C128" s="63"/>
      <c r="D128" s="48"/>
      <c r="E128" s="96">
        <f>IFERROR(__xludf.DUMMYFUNCTION("""COMPUTED_VALUE"""),44685.0)</f>
        <v>44685</v>
      </c>
      <c r="F128" s="33" t="str">
        <f>IFERROR(__xludf.DUMMYFUNCTION("""COMPUTED_VALUE"""),"Community Balance Patch 4.0")</f>
        <v>Community Balance Patch 4.0</v>
      </c>
      <c r="G128" s="20"/>
      <c r="H128" s="20"/>
      <c r="I128" s="20"/>
      <c r="J128" s="20"/>
      <c r="K128" s="20"/>
      <c r="L128" s="20"/>
      <c r="M128" s="20"/>
      <c r="N128" s="20"/>
      <c r="O128" s="20"/>
      <c r="P128" s="20"/>
      <c r="Q128" s="20"/>
      <c r="R128" s="20"/>
      <c r="S128" s="20"/>
      <c r="T128" s="20"/>
      <c r="U128" s="20"/>
      <c r="V128" s="20"/>
      <c r="W128" s="25"/>
    </row>
    <row r="129" ht="15.0" customHeight="1">
      <c r="A129" s="20"/>
      <c r="B129" s="20"/>
      <c r="C129" s="63"/>
      <c r="D129" s="48"/>
      <c r="E129" s="96">
        <f>IFERROR(__xludf.DUMMYFUNCTION("""COMPUTED_VALUE"""),44755.0)</f>
        <v>44755</v>
      </c>
      <c r="F129" s="33" t="str">
        <f>IFERROR(__xludf.DUMMYFUNCTION("""COMPUTED_VALUE"""),"Community Balance Patch 5.0")</f>
        <v>Community Balance Patch 5.0</v>
      </c>
      <c r="G129" s="20"/>
      <c r="H129" s="20"/>
      <c r="I129" s="20"/>
      <c r="J129" s="20"/>
      <c r="K129" s="20"/>
      <c r="L129" s="20"/>
      <c r="M129" s="20"/>
      <c r="N129" s="20"/>
      <c r="O129" s="20"/>
      <c r="P129" s="20"/>
      <c r="Q129" s="20"/>
      <c r="R129" s="20"/>
      <c r="S129" s="20"/>
      <c r="T129" s="20"/>
      <c r="U129" s="20"/>
      <c r="V129" s="20"/>
      <c r="W129" s="25"/>
    </row>
    <row r="130" ht="15.0" customHeight="1">
      <c r="A130" s="20"/>
      <c r="B130" s="20"/>
      <c r="C130" s="63"/>
      <c r="D130" s="48"/>
      <c r="E130" s="99">
        <f>IFERROR(__xludf.DUMMYFUNCTION("""COMPUTED_VALUE"""),44798.0)</f>
        <v>44798</v>
      </c>
      <c r="F130" s="33" t="str">
        <f>IFERROR(__xludf.DUMMYFUNCTION("""COMPUTED_VALUE"""),"Community Balance Patch 6.0")</f>
        <v>Community Balance Patch 6.0</v>
      </c>
      <c r="G130" s="20"/>
      <c r="H130" s="20"/>
      <c r="I130" s="20"/>
      <c r="J130" s="20"/>
      <c r="K130" s="20"/>
      <c r="L130" s="20"/>
      <c r="M130" s="20"/>
      <c r="N130" s="20"/>
      <c r="O130" s="20"/>
      <c r="P130" s="20"/>
      <c r="Q130" s="20"/>
      <c r="R130" s="20"/>
      <c r="S130" s="20"/>
      <c r="T130" s="20"/>
      <c r="U130" s="20"/>
      <c r="V130" s="20"/>
      <c r="W130" s="25"/>
    </row>
    <row r="131" ht="15.0" customHeight="1">
      <c r="A131" s="20"/>
      <c r="B131" s="20"/>
      <c r="C131" s="63"/>
      <c r="D131" s="48"/>
      <c r="E131" s="99">
        <f>IFERROR(__xludf.DUMMYFUNCTION("""COMPUTED_VALUE"""),44838.0)</f>
        <v>44838</v>
      </c>
      <c r="F131" s="63" t="str">
        <f>IFERROR(__xludf.DUMMYFUNCTION("""COMPUTED_VALUE"""),"Community Balance Patch 7.0")</f>
        <v>Community Balance Patch 7.0</v>
      </c>
      <c r="G131" s="20"/>
      <c r="H131" s="20"/>
      <c r="I131" s="20"/>
      <c r="J131" s="20"/>
      <c r="K131" s="20"/>
      <c r="L131" s="20"/>
      <c r="M131" s="20"/>
      <c r="N131" s="20"/>
      <c r="O131" s="20"/>
      <c r="P131" s="20"/>
      <c r="Q131" s="20"/>
      <c r="R131" s="20"/>
      <c r="S131" s="20"/>
      <c r="T131" s="20"/>
      <c r="U131" s="20"/>
      <c r="V131" s="20"/>
      <c r="W131" s="25"/>
    </row>
    <row r="132" ht="15.0" customHeight="1">
      <c r="A132" s="2"/>
      <c r="B132" s="2"/>
      <c r="C132" s="100"/>
      <c r="D132" s="48"/>
      <c r="E132" s="99">
        <f>IFERROR(__xludf.DUMMYFUNCTION("""COMPUTED_VALUE"""),44839.0)</f>
        <v>44839</v>
      </c>
      <c r="F132" s="63" t="str">
        <f>IFERROR(__xludf.DUMMYFUNCTION("""COMPUTED_VALUE"""),"Community Balance Patch 7.1 Hotfix")</f>
        <v>Community Balance Patch 7.1 Hotfix</v>
      </c>
      <c r="G132" s="2"/>
      <c r="H132" s="2"/>
      <c r="I132" s="2"/>
      <c r="J132" s="2"/>
      <c r="K132" s="2"/>
      <c r="L132" s="2"/>
      <c r="M132" s="2"/>
      <c r="N132" s="2"/>
      <c r="O132" s="2"/>
      <c r="P132" s="2"/>
      <c r="Q132" s="2"/>
      <c r="R132" s="2"/>
      <c r="S132" s="2"/>
      <c r="T132" s="2"/>
      <c r="U132" s="2"/>
      <c r="V132" s="20"/>
      <c r="W132" s="20"/>
    </row>
    <row r="133" ht="15.0" customHeight="1">
      <c r="A133" s="7"/>
      <c r="B133" s="20"/>
      <c r="C133" s="20"/>
      <c r="D133" s="48"/>
      <c r="E133" s="99">
        <f>IFERROR(__xludf.DUMMYFUNCTION("""COMPUTED_VALUE"""),44915.0)</f>
        <v>44915</v>
      </c>
      <c r="F133" s="63" t="str">
        <f>IFERROR(__xludf.DUMMYFUNCTION("""COMPUTED_VALUE"""),"Community Balance Patch 8.0")</f>
        <v>Community Balance Patch 8.0</v>
      </c>
      <c r="G133" s="20"/>
      <c r="H133" s="20"/>
      <c r="I133" s="20"/>
      <c r="J133" s="20"/>
      <c r="K133" s="20"/>
      <c r="L133" s="20"/>
      <c r="M133" s="20"/>
      <c r="N133" s="20"/>
      <c r="O133" s="20"/>
      <c r="P133" s="20"/>
      <c r="Q133" s="20"/>
      <c r="R133" s="20"/>
      <c r="S133" s="20"/>
      <c r="T133" s="20"/>
      <c r="U133" s="20"/>
      <c r="V133" s="20"/>
      <c r="W133" s="20"/>
    </row>
    <row r="134" ht="15.0" customHeight="1">
      <c r="A134" s="7"/>
      <c r="B134" s="20"/>
      <c r="C134" s="20"/>
      <c r="D134" s="48"/>
      <c r="E134" s="99">
        <f>IFERROR(__xludf.DUMMYFUNCTION("""COMPUTED_VALUE"""),45056.0)</f>
        <v>45056</v>
      </c>
      <c r="F134" s="63" t="str">
        <f>IFERROR(__xludf.DUMMYFUNCTION("""COMPUTED_VALUE"""),"Community Balance Patch 9.0")</f>
        <v>Community Balance Patch 9.0</v>
      </c>
      <c r="G134" s="20"/>
      <c r="H134" s="20"/>
      <c r="I134" s="20"/>
      <c r="J134" s="20"/>
      <c r="K134" s="20"/>
      <c r="L134" s="20"/>
      <c r="M134" s="20"/>
      <c r="N134" s="20"/>
      <c r="O134" s="20"/>
      <c r="P134" s="20"/>
      <c r="Q134" s="20"/>
      <c r="R134" s="20"/>
      <c r="S134" s="20"/>
      <c r="T134" s="20"/>
      <c r="U134" s="20"/>
      <c r="V134" s="20"/>
      <c r="W134" s="20"/>
    </row>
    <row r="135" ht="15.0" customHeight="1">
      <c r="A135" s="7"/>
      <c r="B135" s="20"/>
      <c r="C135" s="20"/>
      <c r="D135" s="48"/>
      <c r="E135" s="99">
        <f>IFERROR(__xludf.DUMMYFUNCTION("""COMPUTED_VALUE"""),45119.0)</f>
        <v>45119</v>
      </c>
      <c r="F135" s="63" t="str">
        <f>IFERROR(__xludf.DUMMYFUNCTION("""COMPUTED_VALUE"""),"Community Balance Patch 10.0")</f>
        <v>Community Balance Patch 10.0</v>
      </c>
      <c r="G135" s="20"/>
      <c r="H135" s="20"/>
      <c r="I135" s="20"/>
      <c r="J135" s="20"/>
      <c r="K135" s="20"/>
      <c r="L135" s="20"/>
      <c r="M135" s="20"/>
      <c r="N135" s="20"/>
      <c r="O135" s="20"/>
      <c r="P135" s="20"/>
      <c r="Q135" s="20"/>
      <c r="R135" s="20"/>
      <c r="S135" s="20"/>
      <c r="T135" s="20"/>
      <c r="U135" s="20"/>
      <c r="V135" s="20"/>
      <c r="W135" s="20"/>
    </row>
    <row r="136" ht="15.0" customHeight="1">
      <c r="A136" s="7"/>
      <c r="B136" s="20"/>
      <c r="C136" s="20"/>
      <c r="D136" s="48"/>
      <c r="E136" s="99">
        <f>IFERROR(__xludf.DUMMYFUNCTION("""COMPUTED_VALUE"""),45127.0)</f>
        <v>45127</v>
      </c>
      <c r="F136" s="63" t="str">
        <f>IFERROR(__xludf.DUMMYFUNCTION("""COMPUTED_VALUE"""),"Community Balance Patch 10.1 Hotfix")</f>
        <v>Community Balance Patch 10.1 Hotfix</v>
      </c>
      <c r="G136" s="20"/>
      <c r="H136" s="20"/>
      <c r="I136" s="20"/>
      <c r="J136" s="20"/>
      <c r="K136" s="20"/>
      <c r="L136" s="20"/>
      <c r="M136" s="20"/>
      <c r="N136" s="20"/>
      <c r="O136" s="20"/>
      <c r="P136" s="20"/>
      <c r="Q136" s="20"/>
      <c r="R136" s="20"/>
      <c r="S136" s="20"/>
      <c r="T136" s="20"/>
      <c r="U136" s="20"/>
      <c r="V136" s="20"/>
      <c r="W136" s="20"/>
    </row>
    <row r="137" ht="15.0" customHeight="1">
      <c r="A137" s="7"/>
      <c r="B137" s="20"/>
      <c r="C137" s="20"/>
      <c r="D137" s="48"/>
      <c r="E137" s="99">
        <f>IFERROR(__xludf.DUMMYFUNCTION("""COMPUTED_VALUE"""),45245.0)</f>
        <v>45245</v>
      </c>
      <c r="F137" s="63" t="str">
        <f>IFERROR(__xludf.DUMMYFUNCTION("""COMPUTED_VALUE"""),"Community Balance Patch 11.0")</f>
        <v>Community Balance Patch 11.0</v>
      </c>
      <c r="G137" s="20"/>
      <c r="H137" s="20"/>
      <c r="I137" s="20"/>
      <c r="J137" s="20"/>
      <c r="K137" s="20"/>
      <c r="L137" s="20"/>
      <c r="M137" s="20"/>
      <c r="N137" s="20"/>
      <c r="O137" s="20"/>
      <c r="P137" s="20"/>
      <c r="Q137" s="20"/>
      <c r="R137" s="20"/>
      <c r="S137" s="20"/>
      <c r="T137" s="20"/>
      <c r="U137" s="20"/>
      <c r="V137" s="20"/>
      <c r="W137" s="20"/>
    </row>
    <row r="138" ht="15.0" customHeight="1">
      <c r="A138" s="7"/>
      <c r="B138" s="20"/>
      <c r="C138" s="20"/>
      <c r="D138" s="27" t="str">
        <f>IFERROR(__xludf.DUMMYFUNCTION("""COMPUTED_VALUE"""),"Post-Freejam Era")</f>
        <v>Post-Freejam Era</v>
      </c>
      <c r="E138" s="28">
        <f>IFERROR(__xludf.DUMMYFUNCTION("""COMPUTED_VALUE"""),45665.0)</f>
        <v>45665</v>
      </c>
      <c r="F138" s="63" t="str">
        <f>IFERROR(__xludf.DUMMYFUNCTION("""COMPUTED_VALUE"""),"Freejam announces they will soon shut down the RC1 servers and close the studio")</f>
        <v>Freejam announces they will soon shut down the RC1 servers and close the studio</v>
      </c>
      <c r="G138" s="20"/>
      <c r="H138" s="20"/>
      <c r="I138" s="20"/>
      <c r="J138" s="20"/>
      <c r="K138" s="20"/>
      <c r="L138" s="20"/>
      <c r="M138" s="20"/>
      <c r="N138" s="20"/>
      <c r="O138" s="20"/>
      <c r="P138" s="20"/>
      <c r="Q138" s="20"/>
      <c r="R138" s="20"/>
      <c r="S138" s="20"/>
      <c r="T138" s="20"/>
      <c r="U138" s="20"/>
      <c r="V138" s="20"/>
      <c r="W138" s="20"/>
    </row>
    <row r="139" ht="15.0" customHeight="1">
      <c r="A139" s="7"/>
      <c r="B139" s="20"/>
      <c r="C139" s="20"/>
      <c r="D139" s="31" t="str">
        <f>IFERROR(__xludf.DUMMYFUNCTION("""COMPUTED_VALUE"""),"30 Days")</f>
        <v>30 Days</v>
      </c>
      <c r="E139" s="32">
        <f>IFERROR(__xludf.DUMMYFUNCTION("""COMPUTED_VALUE"""),45677.0)</f>
        <v>45677</v>
      </c>
      <c r="F139" s="63" t="str">
        <f>IFERROR(__xludf.DUMMYFUNCTION("""COMPUTED_VALUE"""),"Robocraft 1 is delisted from Steam")</f>
        <v>Robocraft 1 is delisted from Steam</v>
      </c>
      <c r="G139" s="20"/>
      <c r="H139" s="20"/>
      <c r="I139" s="20"/>
      <c r="J139" s="20"/>
      <c r="K139" s="20"/>
      <c r="L139" s="20"/>
      <c r="M139" s="20"/>
      <c r="N139" s="20"/>
      <c r="O139" s="20"/>
      <c r="P139" s="20"/>
      <c r="Q139" s="20"/>
      <c r="R139" s="20"/>
      <c r="S139" s="20"/>
      <c r="T139" s="20"/>
      <c r="U139" s="20"/>
      <c r="V139" s="20"/>
      <c r="W139" s="20"/>
    </row>
    <row r="140" ht="15.0" customHeight="1">
      <c r="A140" s="7"/>
      <c r="B140" s="20"/>
      <c r="C140" s="54" t="str">
        <f>IFERROR(__xludf.DUMMYFUNCTION("""COMPUTED_VALUE"""),"Thanks For Playing")</f>
        <v>Thanks For Playing</v>
      </c>
      <c r="D140" s="48"/>
      <c r="E140" s="32">
        <f>IFERROR(__xludf.DUMMYFUNCTION("""COMPUTED_VALUE"""),45679.0)</f>
        <v>45679</v>
      </c>
      <c r="F140" s="63" t="str">
        <f>IFERROR(__xludf.DUMMYFUNCTION("""COMPUTED_VALUE"""),"Robocraft 1 login servers are shut down. The game ends")</f>
        <v>Robocraft 1 login servers are shut down. The game ends</v>
      </c>
      <c r="G140" s="20"/>
      <c r="H140" s="20"/>
      <c r="I140" s="20"/>
      <c r="J140" s="20"/>
      <c r="K140" s="20"/>
      <c r="L140" s="20"/>
      <c r="M140" s="20"/>
      <c r="N140" s="20"/>
      <c r="O140" s="20"/>
      <c r="P140" s="20"/>
      <c r="Q140" s="20"/>
      <c r="R140" s="20"/>
      <c r="S140" s="20"/>
      <c r="T140" s="20"/>
      <c r="U140" s="20"/>
      <c r="V140" s="20"/>
      <c r="W140" s="20"/>
    </row>
    <row r="141" ht="15.0" customHeight="1">
      <c r="A141" s="7"/>
      <c r="B141" s="20"/>
      <c r="C141" s="54" t="str">
        <f>IFERROR(__xludf.DUMMYFUNCTION("""COMPUTED_VALUE"""),"The End")</f>
        <v>The End</v>
      </c>
      <c r="D141" s="31" t="str">
        <f>IFERROR(__xludf.DUMMYFUNCTION("""COMPUTED_VALUE"""),"4355 Days Total")</f>
        <v>4355 Days Total</v>
      </c>
      <c r="E141" s="101">
        <f>IFERROR(__xludf.DUMMYFUNCTION("""COMPUTED_VALUE"""),45695.0)</f>
        <v>45695</v>
      </c>
      <c r="F141" s="63" t="str">
        <f>IFERROR(__xludf.DUMMYFUNCTION("""COMPUTED_VALUE"""),"Freejam studio closes")</f>
        <v>Freejam studio closes</v>
      </c>
      <c r="G141" s="20"/>
      <c r="H141" s="20"/>
      <c r="I141" s="20"/>
      <c r="J141" s="20"/>
      <c r="K141" s="20"/>
      <c r="L141" s="20"/>
      <c r="M141" s="20"/>
      <c r="N141" s="20"/>
      <c r="O141" s="20"/>
      <c r="P141" s="20"/>
      <c r="Q141" s="20"/>
      <c r="R141" s="20"/>
      <c r="S141" s="20"/>
      <c r="T141" s="20"/>
      <c r="U141" s="20"/>
      <c r="V141" s="20"/>
      <c r="W141" s="20"/>
    </row>
    <row r="142" ht="15.0" customHeight="1">
      <c r="A142" s="7"/>
      <c r="B142" s="20"/>
      <c r="C142" s="20"/>
      <c r="D142" s="89" t="str">
        <f>IFERROR(__xludf.DUMMYFUNCTION("""COMPUTED_VALUE"""),"Wasteland Era")</f>
        <v>Wasteland Era</v>
      </c>
      <c r="E142" s="90" t="str">
        <f>IFERROR(__xludf.DUMMYFUNCTION("""COMPUTED_VALUE"""),"2025/02/09")</f>
        <v>2025/02/09</v>
      </c>
      <c r="F142" s="33" t="str">
        <f>IFERROR(__xludf.DUMMYFUNCTION("""COMPUTED_VALUE"""),"Current Date")</f>
        <v>Current Date</v>
      </c>
      <c r="G142" s="20"/>
      <c r="H142" s="20"/>
      <c r="I142" s="20"/>
      <c r="J142" s="20"/>
      <c r="K142" s="20"/>
      <c r="L142" s="20"/>
      <c r="M142" s="20"/>
      <c r="N142" s="20"/>
      <c r="O142" s="20"/>
      <c r="P142" s="20"/>
      <c r="Q142" s="20"/>
      <c r="R142" s="20"/>
      <c r="S142" s="20"/>
      <c r="T142" s="20"/>
      <c r="U142" s="20"/>
      <c r="V142" s="20"/>
      <c r="W142" s="20"/>
    </row>
    <row r="143" ht="15.0" customHeight="1">
      <c r="A143" s="7"/>
      <c r="B143" s="20"/>
      <c r="C143" s="20"/>
      <c r="D143" s="92" t="str">
        <f>IFERROR(__xludf.DUMMYFUNCTION("""COMPUTED_VALUE"""),"2 Days Running")</f>
        <v>2 Days Running</v>
      </c>
      <c r="E143" s="20"/>
      <c r="F143" s="20"/>
      <c r="G143" s="20"/>
      <c r="H143" s="20"/>
      <c r="I143" s="20"/>
      <c r="J143" s="20"/>
      <c r="K143" s="20"/>
      <c r="L143" s="20"/>
      <c r="M143" s="20"/>
      <c r="N143" s="20"/>
      <c r="O143" s="20"/>
      <c r="P143" s="20"/>
      <c r="Q143" s="20"/>
      <c r="R143" s="20"/>
      <c r="S143" s="20"/>
      <c r="T143" s="20"/>
      <c r="U143" s="20"/>
      <c r="V143" s="7"/>
      <c r="W143" s="7"/>
    </row>
    <row r="144" ht="15.0" customHeight="1">
      <c r="A144" s="7"/>
      <c r="B144" s="25"/>
      <c r="C144" s="25"/>
      <c r="D144" s="25"/>
      <c r="E144" s="25"/>
      <c r="F144" s="25"/>
      <c r="G144" s="25"/>
      <c r="H144" s="25"/>
      <c r="I144" s="25"/>
      <c r="J144" s="25"/>
      <c r="K144" s="25"/>
      <c r="L144" s="25"/>
      <c r="M144" s="25"/>
      <c r="N144" s="25"/>
      <c r="O144" s="25"/>
      <c r="P144" s="25"/>
      <c r="Q144" s="25"/>
      <c r="R144" s="25"/>
      <c r="S144" s="25"/>
      <c r="T144" s="25"/>
      <c r="U144" s="25"/>
      <c r="V144" s="7"/>
      <c r="W144" s="7"/>
    </row>
    <row r="145" ht="15.0" customHeight="1">
      <c r="A145" s="7"/>
      <c r="B145" s="25"/>
      <c r="C145" s="25"/>
      <c r="D145" s="25"/>
      <c r="E145" s="25"/>
      <c r="F145" s="25"/>
      <c r="G145" s="25"/>
      <c r="H145" s="25"/>
      <c r="I145" s="25"/>
      <c r="J145" s="25"/>
      <c r="K145" s="25"/>
      <c r="L145" s="25"/>
      <c r="M145" s="25"/>
      <c r="N145" s="25"/>
      <c r="O145" s="25"/>
      <c r="P145" s="25"/>
      <c r="Q145" s="25"/>
      <c r="R145" s="25"/>
      <c r="S145" s="25"/>
      <c r="T145" s="25"/>
      <c r="U145" s="25"/>
      <c r="V145" s="7"/>
      <c r="W145" s="7"/>
    </row>
  </sheetData>
  <mergeCells count="3">
    <mergeCell ref="C1:E1"/>
    <mergeCell ref="C2:F3"/>
    <mergeCell ref="C8:D11"/>
  </mergeCells>
  <hyperlinks>
    <hyperlink r:id="rId1" ref="C1"/>
    <hyperlink r:id="rId2" ref="C12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63"/>
    <col customWidth="1" min="3" max="3" width="16.25"/>
    <col customWidth="1" min="4" max="4" width="9.88"/>
    <col customWidth="1" min="5" max="6" width="2.63"/>
  </cols>
  <sheetData>
    <row r="1" ht="15.0" customHeight="1">
      <c r="A1" s="102"/>
      <c r="B1" s="7"/>
      <c r="C1" s="103"/>
      <c r="D1" s="103"/>
      <c r="E1" s="7"/>
      <c r="F1" s="7"/>
    </row>
    <row r="2" ht="15.0" customHeight="1">
      <c r="A2" s="104"/>
      <c r="B2" s="2"/>
      <c r="C2" s="105"/>
      <c r="D2" s="5"/>
      <c r="E2" s="2"/>
      <c r="F2" s="2"/>
    </row>
    <row r="3" ht="15.0" customHeight="1">
      <c r="A3" s="20"/>
      <c r="B3" s="106"/>
      <c r="C3" s="107" t="s">
        <v>1</v>
      </c>
      <c r="D3" s="108">
        <v>41340.0</v>
      </c>
      <c r="E3" s="24"/>
      <c r="F3" s="20"/>
    </row>
    <row r="4" ht="15.0" customHeight="1">
      <c r="A4" s="20"/>
      <c r="B4" s="106"/>
      <c r="C4" s="109" t="s">
        <v>2</v>
      </c>
      <c r="D4" s="110">
        <v>41452.0</v>
      </c>
      <c r="E4" s="24"/>
      <c r="F4" s="20"/>
    </row>
    <row r="5" ht="15.0" customHeight="1">
      <c r="A5" s="20"/>
      <c r="B5" s="106"/>
      <c r="C5" s="111" t="s">
        <v>3</v>
      </c>
      <c r="D5" s="112">
        <v>41470.0</v>
      </c>
      <c r="E5" s="20"/>
      <c r="F5" s="20"/>
    </row>
    <row r="6" ht="15.0" customHeight="1">
      <c r="A6" s="20"/>
      <c r="B6" s="113"/>
      <c r="C6" s="114" t="s">
        <v>4</v>
      </c>
      <c r="D6" s="115">
        <v>42108.0</v>
      </c>
      <c r="E6" s="20"/>
      <c r="F6" s="20"/>
    </row>
    <row r="7" ht="15.0" customHeight="1">
      <c r="A7" s="20"/>
      <c r="B7" s="106"/>
      <c r="C7" s="116" t="s">
        <v>5</v>
      </c>
      <c r="D7" s="117">
        <v>42125.0</v>
      </c>
      <c r="E7" s="20"/>
      <c r="F7" s="20"/>
    </row>
    <row r="8" ht="15.0" customHeight="1">
      <c r="A8" s="20"/>
      <c r="B8" s="113"/>
      <c r="C8" s="118" t="s">
        <v>6</v>
      </c>
      <c r="D8" s="119">
        <v>42474.0</v>
      </c>
      <c r="E8" s="20"/>
      <c r="F8" s="20"/>
    </row>
    <row r="9" ht="15.0" customHeight="1">
      <c r="A9" s="20"/>
      <c r="B9" s="106"/>
      <c r="C9" s="120" t="s">
        <v>7</v>
      </c>
      <c r="D9" s="121">
        <v>42488.0</v>
      </c>
      <c r="E9" s="20"/>
      <c r="F9" s="20"/>
    </row>
    <row r="10" ht="15.0" customHeight="1">
      <c r="A10" s="20"/>
      <c r="B10" s="113"/>
      <c r="C10" s="122" t="s">
        <v>8</v>
      </c>
      <c r="D10" s="123">
        <v>42783.0</v>
      </c>
      <c r="E10" s="20"/>
      <c r="F10" s="20"/>
    </row>
    <row r="11" ht="15.0" customHeight="1">
      <c r="A11" s="20"/>
      <c r="B11" s="106"/>
      <c r="C11" s="124" t="s">
        <v>9</v>
      </c>
      <c r="D11" s="125">
        <v>42797.0</v>
      </c>
      <c r="E11" s="20"/>
      <c r="F11" s="20"/>
    </row>
    <row r="12" ht="15.0" customHeight="1">
      <c r="A12" s="20"/>
      <c r="B12" s="113"/>
      <c r="C12" s="126" t="s">
        <v>10</v>
      </c>
      <c r="D12" s="127">
        <v>42943.0</v>
      </c>
      <c r="E12" s="20"/>
      <c r="F12" s="20"/>
    </row>
    <row r="13" ht="15.0" customHeight="1">
      <c r="A13" s="20"/>
      <c r="B13" s="113"/>
      <c r="C13" s="128" t="s">
        <v>11</v>
      </c>
      <c r="D13" s="129">
        <v>42957.0</v>
      </c>
      <c r="E13" s="20"/>
      <c r="F13" s="20"/>
    </row>
    <row r="14" ht="15.0" customHeight="1">
      <c r="A14" s="20"/>
      <c r="B14" s="106"/>
      <c r="C14" s="130" t="s">
        <v>12</v>
      </c>
      <c r="D14" s="131">
        <v>43384.0</v>
      </c>
      <c r="E14" s="20"/>
      <c r="F14" s="20"/>
    </row>
    <row r="15" ht="15.0" customHeight="1">
      <c r="A15" s="20"/>
      <c r="B15" s="106"/>
      <c r="C15" s="132" t="s">
        <v>13</v>
      </c>
      <c r="D15" s="133">
        <v>43419.0</v>
      </c>
      <c r="E15" s="20"/>
      <c r="F15" s="20"/>
    </row>
    <row r="16" ht="15.0" customHeight="1">
      <c r="A16" s="20"/>
      <c r="B16" s="106"/>
      <c r="C16" s="134" t="s">
        <v>14</v>
      </c>
      <c r="D16" s="135">
        <v>43602.0</v>
      </c>
      <c r="E16" s="20"/>
      <c r="F16" s="20"/>
    </row>
    <row r="17" ht="15.0" customHeight="1">
      <c r="A17" s="20"/>
      <c r="B17" s="106"/>
      <c r="C17" s="136" t="s">
        <v>15</v>
      </c>
      <c r="D17" s="137">
        <v>44005.0</v>
      </c>
      <c r="E17" s="20"/>
      <c r="F17" s="20"/>
    </row>
    <row r="18" ht="15.0" customHeight="1">
      <c r="A18" s="20"/>
      <c r="B18" s="20"/>
      <c r="C18" s="138" t="s">
        <v>16</v>
      </c>
      <c r="D18" s="139" t="str">
        <f>TEXT(TODAY(),"YYYY/MM/DD")</f>
        <v>2025/02/09</v>
      </c>
      <c r="E18" s="20"/>
      <c r="F18" s="20"/>
    </row>
    <row r="19" ht="15.0" customHeight="1">
      <c r="A19" s="2"/>
      <c r="B19" s="2"/>
      <c r="C19" s="27" t="s">
        <v>17</v>
      </c>
      <c r="D19" s="28">
        <v>45665.0</v>
      </c>
      <c r="E19" s="6"/>
      <c r="F19" s="2"/>
    </row>
    <row r="20" ht="15.0" customHeight="1">
      <c r="A20" s="7"/>
      <c r="B20" s="7"/>
      <c r="C20" s="140" t="str">
        <f>D20-D19&amp;" Days Running"</f>
        <v>32 Days Running</v>
      </c>
      <c r="D20" s="141" t="str">
        <f>TEXT(TODAY(),"YYYY/MM/DD")</f>
        <v>2025/02/09</v>
      </c>
      <c r="E20" s="142"/>
      <c r="F20" s="7"/>
    </row>
    <row r="21" ht="15.0" customHeight="1">
      <c r="A21" s="7"/>
      <c r="B21" s="7"/>
      <c r="C21" s="143"/>
      <c r="D21" s="144"/>
      <c r="E21" s="7"/>
      <c r="F21" s="7"/>
    </row>
    <row r="22" ht="15.0" customHeight="1">
      <c r="A22" s="7"/>
      <c r="B22" s="7"/>
      <c r="C22" s="143"/>
      <c r="D22" s="143"/>
      <c r="E22" s="7"/>
      <c r="F22" s="7"/>
    </row>
  </sheetData>
  <mergeCells count="1">
    <mergeCell ref="C2:D2"/>
  </mergeCells>
  <drawing r:id="rId1"/>
</worksheet>
</file>